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icoagdan/Desktop/Cloud-Computing-Flask-Assignment/"/>
    </mc:Choice>
  </mc:AlternateContent>
  <xr:revisionPtr revIDLastSave="0" documentId="13_ncr:1_{F9A8529D-B480-3241-8930-EE99AB64407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Table 1" sheetId="1" r:id="rId1"/>
    <sheet name="Data_Cleaning" sheetId="3" r:id="rId2"/>
    <sheet name="Back-up &gt;&gt;&gt;" sheetId="4" r:id="rId3"/>
    <sheet name="Table 1_Raw" sheetId="2" r:id="rId4"/>
  </sheets>
  <definedNames>
    <definedName name="_xlnm._FilterDatabase" localSheetId="0" hidden="1">'Table 1'!$B$5:$L$560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  <c r="H152" i="1"/>
  <c r="H9" i="1"/>
  <c r="H148" i="1"/>
  <c r="H10" i="1"/>
  <c r="H11" i="1"/>
  <c r="H12" i="1"/>
  <c r="H15" i="1"/>
  <c r="H472" i="1"/>
  <c r="H523" i="1"/>
  <c r="H510" i="1"/>
  <c r="H441" i="1"/>
  <c r="H433" i="1"/>
  <c r="H466" i="1"/>
  <c r="H231" i="1"/>
  <c r="H290" i="1"/>
  <c r="H350" i="1"/>
  <c r="H163" i="1"/>
  <c r="H313" i="1"/>
  <c r="H332" i="1"/>
  <c r="H259" i="1"/>
  <c r="H532" i="1"/>
  <c r="H535" i="1"/>
  <c r="H539" i="1"/>
  <c r="H513" i="1"/>
  <c r="H17" i="1"/>
  <c r="H18" i="1"/>
  <c r="H445" i="1"/>
  <c r="H243" i="1"/>
  <c r="H19" i="1"/>
  <c r="H255" i="1"/>
  <c r="H315" i="1"/>
  <c r="H203" i="1"/>
  <c r="H400" i="1"/>
  <c r="H25" i="1"/>
  <c r="H385" i="1"/>
  <c r="H310" i="1"/>
  <c r="H370" i="1"/>
  <c r="H26" i="1"/>
  <c r="H27" i="1"/>
  <c r="H28" i="1"/>
  <c r="H29" i="1"/>
  <c r="H30" i="1"/>
  <c r="H461" i="1"/>
  <c r="H31" i="1"/>
  <c r="H32" i="1"/>
  <c r="H297" i="1"/>
  <c r="H33" i="1"/>
  <c r="H34" i="1"/>
  <c r="H230" i="1"/>
  <c r="H35" i="1"/>
  <c r="H36" i="1"/>
  <c r="H37" i="1"/>
  <c r="H38" i="1"/>
  <c r="H40" i="1"/>
  <c r="H325" i="1"/>
  <c r="H173" i="1"/>
  <c r="H154" i="1"/>
  <c r="H422" i="1"/>
  <c r="H384" i="1"/>
  <c r="H169" i="1"/>
  <c r="H158" i="1"/>
  <c r="H53" i="1"/>
  <c r="H55" i="1"/>
  <c r="H56" i="1"/>
  <c r="H57" i="1"/>
  <c r="H58" i="1"/>
  <c r="H59" i="1"/>
  <c r="H201" i="1"/>
  <c r="H167" i="1"/>
  <c r="H60" i="1"/>
  <c r="H61" i="1"/>
  <c r="H517" i="1"/>
  <c r="H326" i="1"/>
  <c r="H62" i="1"/>
  <c r="H63" i="1"/>
  <c r="H64" i="1"/>
  <c r="H168" i="1"/>
  <c r="H74" i="1"/>
  <c r="H75" i="1"/>
  <c r="H197" i="1"/>
  <c r="H500" i="1"/>
  <c r="H76" i="1"/>
  <c r="H153" i="1"/>
  <c r="H77" i="1"/>
  <c r="H78" i="1"/>
  <c r="H79" i="1"/>
  <c r="H157" i="1"/>
  <c r="H156" i="1"/>
  <c r="H347" i="1"/>
  <c r="H232" i="1"/>
  <c r="H191" i="1"/>
  <c r="H80" i="1"/>
  <c r="H82" i="1"/>
  <c r="H481" i="1"/>
  <c r="H95" i="1"/>
  <c r="H96" i="1"/>
  <c r="H527" i="1"/>
  <c r="H484" i="1"/>
  <c r="H98" i="1"/>
  <c r="H99" i="1"/>
  <c r="H100" i="1"/>
  <c r="H101" i="1"/>
  <c r="H102" i="1"/>
  <c r="H103" i="1"/>
  <c r="H104" i="1"/>
  <c r="H164" i="1"/>
  <c r="H506" i="1"/>
  <c r="H115" i="1"/>
  <c r="H116" i="1"/>
  <c r="H117" i="1"/>
  <c r="H118" i="1"/>
  <c r="H464" i="1"/>
  <c r="H291" i="1"/>
  <c r="H282" i="1"/>
  <c r="H144" i="1"/>
  <c r="H270" i="1"/>
  <c r="H121" i="1"/>
  <c r="H412" i="1"/>
  <c r="H122" i="1"/>
  <c r="H542" i="1"/>
  <c r="H487" i="1"/>
  <c r="H296" i="1"/>
  <c r="H258" i="1"/>
  <c r="H447" i="1"/>
  <c r="H373" i="1"/>
  <c r="H327" i="1"/>
  <c r="H123" i="1"/>
  <c r="H308" i="1"/>
  <c r="H333" i="1"/>
  <c r="H124" i="1"/>
  <c r="H125" i="1"/>
  <c r="H126" i="1"/>
  <c r="H127" i="1"/>
  <c r="H512" i="1"/>
  <c r="H265" i="1"/>
  <c r="H303" i="1"/>
  <c r="H280" i="1"/>
  <c r="H129" i="1"/>
  <c r="H233" i="1"/>
  <c r="H319" i="1"/>
  <c r="H547" i="1"/>
  <c r="H238" i="1"/>
  <c r="H130" i="1"/>
  <c r="H131" i="1"/>
  <c r="H132" i="1"/>
  <c r="H133" i="1"/>
  <c r="H171" i="1"/>
  <c r="H210" i="1"/>
  <c r="H134" i="1"/>
  <c r="G244" i="1" a="1"/>
  <c r="G244" i="1" s="1"/>
  <c r="H244" i="1" s="1"/>
  <c r="G241" i="1" a="1"/>
  <c r="G241" i="1" s="1"/>
  <c r="H241" i="1" s="1"/>
  <c r="G237" i="1" a="1"/>
  <c r="G237" i="1" s="1"/>
  <c r="G6" i="1" a="1"/>
  <c r="G6" i="1" s="1"/>
  <c r="G372" i="1" a="1"/>
  <c r="G372" i="1" s="1"/>
  <c r="H372" i="1" s="1"/>
  <c r="G477" i="1" a="1"/>
  <c r="G477" i="1" s="1"/>
  <c r="H477" i="1" s="1"/>
  <c r="G7" i="1" a="1"/>
  <c r="G7" i="1" s="1"/>
  <c r="H7" i="1" s="1"/>
  <c r="G401" i="1" a="1"/>
  <c r="G401" i="1" s="1"/>
  <c r="H401" i="1" s="1"/>
  <c r="G423" i="1" a="1"/>
  <c r="G423" i="1" s="1"/>
  <c r="H423" i="1" s="1"/>
  <c r="G364" i="1" a="1"/>
  <c r="G364" i="1" s="1"/>
  <c r="H364" i="1" s="1"/>
  <c r="G285" i="1" a="1"/>
  <c r="G285" i="1" s="1"/>
  <c r="H285" i="1" s="1"/>
  <c r="G246" i="1" a="1"/>
  <c r="G246" i="1" s="1"/>
  <c r="H246" i="1" s="1"/>
  <c r="G159" i="1" a="1"/>
  <c r="G159" i="1" s="1"/>
  <c r="H159" i="1" s="1"/>
  <c r="G299" i="1" a="1"/>
  <c r="G299" i="1" s="1"/>
  <c r="H299" i="1" s="1"/>
  <c r="G218" i="1" a="1"/>
  <c r="G218" i="1" s="1"/>
  <c r="H218" i="1" s="1"/>
  <c r="G184" i="1" a="1"/>
  <c r="G184" i="1" s="1"/>
  <c r="H184" i="1" s="1"/>
  <c r="G459" i="1" a="1"/>
  <c r="G459" i="1" s="1"/>
  <c r="G419" i="1" a="1"/>
  <c r="G419" i="1" s="1"/>
  <c r="G403" i="1" a="1"/>
  <c r="G403" i="1" s="1"/>
  <c r="G426" i="1" a="1"/>
  <c r="G426" i="1" s="1"/>
  <c r="G375" i="1" a="1"/>
  <c r="G375" i="1" s="1"/>
  <c r="G417" i="1" a="1"/>
  <c r="G417" i="1" s="1"/>
  <c r="G311" i="1" a="1"/>
  <c r="G311" i="1" s="1"/>
  <c r="G434" i="1" a="1"/>
  <c r="G434" i="1" s="1"/>
  <c r="G483" i="1" a="1"/>
  <c r="G483" i="1" s="1"/>
  <c r="G424" i="1" a="1"/>
  <c r="G424" i="1" s="1"/>
  <c r="G361" i="1" a="1"/>
  <c r="G361" i="1" s="1"/>
  <c r="G225" i="1" a="1"/>
  <c r="G225" i="1" s="1"/>
  <c r="G529" i="1" a="1"/>
  <c r="G529" i="1" s="1"/>
  <c r="G475" i="1" a="1"/>
  <c r="G475" i="1" s="1"/>
  <c r="G356" i="1" a="1"/>
  <c r="G356" i="1" s="1"/>
  <c r="G8" i="1" a="1"/>
  <c r="G8" i="1" s="1"/>
  <c r="H8" i="1" s="1"/>
  <c r="G227" i="1" a="1"/>
  <c r="G227" i="1" s="1"/>
  <c r="G252" i="1" a="1"/>
  <c r="G252" i="1" s="1"/>
  <c r="G340" i="1" a="1"/>
  <c r="G340" i="1" s="1"/>
  <c r="H340" i="1" s="1"/>
  <c r="G322" i="1" a="1"/>
  <c r="G322" i="1" s="1"/>
  <c r="H322" i="1" s="1"/>
  <c r="G300" i="1" a="1"/>
  <c r="G300" i="1" s="1"/>
  <c r="H300" i="1" s="1"/>
  <c r="G302" i="1" a="1"/>
  <c r="G302" i="1" s="1"/>
  <c r="H302" i="1" s="1"/>
  <c r="G421" i="1" a="1"/>
  <c r="G421" i="1" s="1"/>
  <c r="H421" i="1" s="1"/>
  <c r="G414" i="1" a="1"/>
  <c r="G414" i="1" s="1"/>
  <c r="H414" i="1" s="1"/>
  <c r="G380" i="1" a="1"/>
  <c r="G380" i="1" s="1"/>
  <c r="H380" i="1" s="1"/>
  <c r="G456" i="1" a="1"/>
  <c r="G456" i="1" s="1"/>
  <c r="H456" i="1" s="1"/>
  <c r="G13" i="1" a="1"/>
  <c r="G13" i="1" s="1"/>
  <c r="H13" i="1" s="1"/>
  <c r="G14" i="1" a="1"/>
  <c r="G14" i="1" s="1"/>
  <c r="H14" i="1" s="1"/>
  <c r="G306" i="1" a="1"/>
  <c r="G306" i="1" s="1"/>
  <c r="H306" i="1" s="1"/>
  <c r="G16" i="1" a="1"/>
  <c r="G16" i="1" s="1"/>
  <c r="H16" i="1" s="1"/>
  <c r="G485" i="1" a="1"/>
  <c r="G485" i="1" s="1"/>
  <c r="H485" i="1" s="1"/>
  <c r="G474" i="1" a="1"/>
  <c r="G474" i="1" s="1"/>
  <c r="H474" i="1" s="1"/>
  <c r="G407" i="1" a="1"/>
  <c r="G407" i="1" s="1"/>
  <c r="H407" i="1" s="1"/>
  <c r="G181" i="1" a="1"/>
  <c r="G181" i="1" s="1"/>
  <c r="H181" i="1" s="1"/>
  <c r="G507" i="1" a="1"/>
  <c r="G507" i="1" s="1"/>
  <c r="G425" i="1" a="1"/>
  <c r="G425" i="1" s="1"/>
  <c r="G463" i="1" a="1"/>
  <c r="G463" i="1" s="1"/>
  <c r="H463" i="1" s="1"/>
  <c r="G453" i="1" a="1"/>
  <c r="G453" i="1" s="1"/>
  <c r="H453" i="1" s="1"/>
  <c r="G515" i="1" a="1"/>
  <c r="G515" i="1" s="1"/>
  <c r="H515" i="1" s="1"/>
  <c r="G496" i="1" a="1"/>
  <c r="G496" i="1" s="1"/>
  <c r="H496" i="1" s="1"/>
  <c r="G480" i="1" a="1"/>
  <c r="G480" i="1" s="1"/>
  <c r="H480" i="1" s="1"/>
  <c r="G536" i="1" a="1"/>
  <c r="G536" i="1" s="1"/>
  <c r="G436" i="1" a="1"/>
  <c r="G436" i="1" s="1"/>
  <c r="G546" i="1" a="1"/>
  <c r="G546" i="1" s="1"/>
  <c r="H546" i="1" s="1"/>
  <c r="G501" i="1" a="1"/>
  <c r="G501" i="1" s="1"/>
  <c r="G497" i="1" a="1"/>
  <c r="G497" i="1" s="1"/>
  <c r="G395" i="1" a="1"/>
  <c r="G395" i="1" s="1"/>
  <c r="G221" i="1" a="1"/>
  <c r="G221" i="1" s="1"/>
  <c r="H221" i="1" s="1"/>
  <c r="G379" i="1" a="1"/>
  <c r="G379" i="1" s="1"/>
  <c r="H379" i="1" s="1"/>
  <c r="G343" i="1" a="1"/>
  <c r="G343" i="1" s="1"/>
  <c r="H343" i="1" s="1"/>
  <c r="G177" i="1" a="1"/>
  <c r="G177" i="1" s="1"/>
  <c r="H177" i="1" s="1"/>
  <c r="G275" i="1" a="1"/>
  <c r="G275" i="1" s="1"/>
  <c r="G176" i="1" a="1"/>
  <c r="G176" i="1" s="1"/>
  <c r="H176" i="1" s="1"/>
  <c r="G437" i="1" a="1"/>
  <c r="G437" i="1" s="1"/>
  <c r="H437" i="1" s="1"/>
  <c r="G363" i="1" a="1"/>
  <c r="G363" i="1" s="1"/>
  <c r="H363" i="1" s="1"/>
  <c r="G376" i="1" a="1"/>
  <c r="G376" i="1" s="1"/>
  <c r="H376" i="1" s="1"/>
  <c r="G286" i="1" a="1"/>
  <c r="G286" i="1" s="1"/>
  <c r="H286" i="1" s="1"/>
  <c r="G161" i="1" a="1"/>
  <c r="G161" i="1" s="1"/>
  <c r="H161" i="1" s="1"/>
  <c r="G212" i="1" a="1"/>
  <c r="G212" i="1" s="1"/>
  <c r="H212" i="1" s="1"/>
  <c r="G341" i="1" a="1"/>
  <c r="G341" i="1" s="1"/>
  <c r="G162" i="1" a="1"/>
  <c r="G162" i="1" s="1"/>
  <c r="G514" i="1" a="1"/>
  <c r="G514" i="1" s="1"/>
  <c r="G293" i="1" a="1"/>
  <c r="G293" i="1" s="1"/>
  <c r="G198" i="1" a="1"/>
  <c r="G198" i="1" s="1"/>
  <c r="G179" i="1" a="1"/>
  <c r="G179" i="1" s="1"/>
  <c r="G492" i="1" a="1"/>
  <c r="G492" i="1" s="1"/>
  <c r="H492" i="1" s="1"/>
  <c r="G318" i="1" a="1"/>
  <c r="G318" i="1" s="1"/>
  <c r="H318" i="1" s="1"/>
  <c r="G357" i="1" a="1"/>
  <c r="G357" i="1" s="1"/>
  <c r="H357" i="1" s="1"/>
  <c r="G239" i="1" a="1"/>
  <c r="G239" i="1" s="1"/>
  <c r="H239" i="1" s="1"/>
  <c r="G508" i="1" a="1"/>
  <c r="G508" i="1" s="1"/>
  <c r="G390" i="1" a="1"/>
  <c r="G390" i="1" s="1"/>
  <c r="G499" i="1" a="1"/>
  <c r="G499" i="1" s="1"/>
  <c r="H499" i="1" s="1"/>
  <c r="G516" i="1" a="1"/>
  <c r="G516" i="1" s="1"/>
  <c r="H516" i="1" s="1"/>
  <c r="G468" i="1" a="1"/>
  <c r="G468" i="1" s="1"/>
  <c r="H468" i="1" s="1"/>
  <c r="G397" i="1" a="1"/>
  <c r="G397" i="1" s="1"/>
  <c r="H397" i="1" s="1"/>
  <c r="G20" i="1" a="1"/>
  <c r="G20" i="1" s="1"/>
  <c r="H20" i="1" s="1"/>
  <c r="G420" i="1" a="1"/>
  <c r="G420" i="1" s="1"/>
  <c r="G21" i="1" a="1"/>
  <c r="G21" i="1" s="1"/>
  <c r="H21" i="1" s="1"/>
  <c r="G22" i="1" a="1"/>
  <c r="G22" i="1" s="1"/>
  <c r="H22" i="1" s="1"/>
  <c r="G23" i="1" a="1"/>
  <c r="G23" i="1" s="1"/>
  <c r="H23" i="1" s="1"/>
  <c r="G377" i="1" a="1"/>
  <c r="G377" i="1" s="1"/>
  <c r="H377" i="1" s="1"/>
  <c r="G362" i="1" a="1"/>
  <c r="G362" i="1" s="1"/>
  <c r="H362" i="1" s="1"/>
  <c r="G183" i="1" a="1"/>
  <c r="G183" i="1" s="1"/>
  <c r="H183" i="1" s="1"/>
  <c r="G253" i="1" a="1"/>
  <c r="G253" i="1" s="1"/>
  <c r="H253" i="1" s="1"/>
  <c r="G24" i="1" a="1"/>
  <c r="G24" i="1" s="1"/>
  <c r="G470" i="1" a="1"/>
  <c r="G470" i="1" s="1"/>
  <c r="G367" i="1" a="1"/>
  <c r="G367" i="1" s="1"/>
  <c r="G465" i="1" a="1"/>
  <c r="G465" i="1" s="1"/>
  <c r="G39" i="1" a="1"/>
  <c r="G39" i="1" s="1"/>
  <c r="G391" i="1" a="1"/>
  <c r="G391" i="1" s="1"/>
  <c r="H391" i="1" s="1"/>
  <c r="G451" i="1" a="1"/>
  <c r="G451" i="1" s="1"/>
  <c r="H451" i="1" s="1"/>
  <c r="G41" i="1" a="1"/>
  <c r="G41" i="1" s="1"/>
  <c r="H41" i="1" s="1"/>
  <c r="G387" i="1" a="1"/>
  <c r="G387" i="1" s="1"/>
  <c r="H387" i="1" s="1"/>
  <c r="G304" i="1" a="1"/>
  <c r="G304" i="1" s="1"/>
  <c r="H304" i="1" s="1"/>
  <c r="G271" i="1" a="1"/>
  <c r="G271" i="1" s="1"/>
  <c r="H271" i="1" s="1"/>
  <c r="G301" i="1" a="1"/>
  <c r="G301" i="1" s="1"/>
  <c r="H301" i="1" s="1"/>
  <c r="G524" i="1" a="1"/>
  <c r="G524" i="1" s="1"/>
  <c r="H524" i="1" s="1"/>
  <c r="G554" i="1" a="1"/>
  <c r="G554" i="1" s="1"/>
  <c r="G410" i="1" a="1"/>
  <c r="G410" i="1" s="1"/>
  <c r="G314" i="1" a="1"/>
  <c r="G314" i="1" s="1"/>
  <c r="G360" i="1" a="1"/>
  <c r="G360" i="1" s="1"/>
  <c r="H360" i="1" s="1"/>
  <c r="G454" i="1" a="1"/>
  <c r="G454" i="1" s="1"/>
  <c r="H454" i="1" s="1"/>
  <c r="G354" i="1" a="1"/>
  <c r="G354" i="1" s="1"/>
  <c r="H354" i="1" s="1"/>
  <c r="G383" i="1" a="1"/>
  <c r="G383" i="1" s="1"/>
  <c r="H383" i="1" s="1"/>
  <c r="G330" i="1" a="1"/>
  <c r="G330" i="1" s="1"/>
  <c r="H330" i="1" s="1"/>
  <c r="G268" i="1" a="1"/>
  <c r="G268" i="1" s="1"/>
  <c r="H268" i="1" s="1"/>
  <c r="G473" i="1" a="1"/>
  <c r="G473" i="1" s="1"/>
  <c r="G274" i="1" a="1"/>
  <c r="G274" i="1" s="1"/>
  <c r="G503" i="1" a="1"/>
  <c r="G503" i="1" s="1"/>
  <c r="G331" i="1" a="1"/>
  <c r="G331" i="1" s="1"/>
  <c r="H331" i="1" s="1"/>
  <c r="G359" i="1" a="1"/>
  <c r="G359" i="1" s="1"/>
  <c r="H359" i="1" s="1"/>
  <c r="G250" i="1" a="1"/>
  <c r="G250" i="1" s="1"/>
  <c r="H250" i="1" s="1"/>
  <c r="G288" i="1" a="1"/>
  <c r="G288" i="1" s="1"/>
  <c r="H288" i="1" s="1"/>
  <c r="G42" i="1" a="1"/>
  <c r="G42" i="1" s="1"/>
  <c r="H42" i="1" s="1"/>
  <c r="G43" i="1" a="1"/>
  <c r="G43" i="1" s="1"/>
  <c r="H43" i="1" s="1"/>
  <c r="G256" i="1" a="1"/>
  <c r="G256" i="1" s="1"/>
  <c r="H256" i="1" s="1"/>
  <c r="G44" i="1" a="1"/>
  <c r="G44" i="1" s="1"/>
  <c r="H44" i="1" s="1"/>
  <c r="G45" i="1" a="1"/>
  <c r="G45" i="1" s="1"/>
  <c r="H45" i="1" s="1"/>
  <c r="G462" i="1" a="1"/>
  <c r="G462" i="1" s="1"/>
  <c r="G460" i="1" a="1"/>
  <c r="G460" i="1" s="1"/>
  <c r="G409" i="1" a="1"/>
  <c r="G409" i="1" s="1"/>
  <c r="G328" i="1" a="1"/>
  <c r="G328" i="1" s="1"/>
  <c r="G415" i="1" a="1"/>
  <c r="G415" i="1" s="1"/>
  <c r="G309" i="1" a="1"/>
  <c r="G309" i="1" s="1"/>
  <c r="G151" i="1" a="1"/>
  <c r="G151" i="1" s="1"/>
  <c r="G339" i="1" a="1"/>
  <c r="G339" i="1" s="1"/>
  <c r="H339" i="1" s="1"/>
  <c r="G344" i="1" a="1"/>
  <c r="G344" i="1" s="1"/>
  <c r="H344" i="1" s="1"/>
  <c r="G287" i="1" a="1"/>
  <c r="G287" i="1" s="1"/>
  <c r="H287" i="1" s="1"/>
  <c r="G337" i="1" a="1"/>
  <c r="G337" i="1" s="1"/>
  <c r="H337" i="1" s="1"/>
  <c r="G193" i="1" a="1"/>
  <c r="G193" i="1" s="1"/>
  <c r="H193" i="1" s="1"/>
  <c r="G242" i="1" a="1"/>
  <c r="G242" i="1" s="1"/>
  <c r="H242" i="1" s="1"/>
  <c r="G342" i="1" a="1"/>
  <c r="G342" i="1" s="1"/>
  <c r="H342" i="1" s="1"/>
  <c r="G222" i="1" a="1"/>
  <c r="G222" i="1" s="1"/>
  <c r="H222" i="1" s="1"/>
  <c r="G185" i="1" a="1"/>
  <c r="G185" i="1" s="1"/>
  <c r="H185" i="1" s="1"/>
  <c r="G292" i="1" a="1"/>
  <c r="G292" i="1" s="1"/>
  <c r="H292" i="1" s="1"/>
  <c r="G353" i="1" a="1"/>
  <c r="G353" i="1" s="1"/>
  <c r="H353" i="1" s="1"/>
  <c r="G247" i="1" a="1"/>
  <c r="G247" i="1" s="1"/>
  <c r="H247" i="1" s="1"/>
  <c r="G216" i="1" a="1"/>
  <c r="G216" i="1" s="1"/>
  <c r="H216" i="1" s="1"/>
  <c r="G267" i="1" a="1"/>
  <c r="G267" i="1" s="1"/>
  <c r="H267" i="1" s="1"/>
  <c r="G46" i="1" a="1"/>
  <c r="G46" i="1" s="1"/>
  <c r="H46" i="1" s="1"/>
  <c r="G388" i="1" a="1"/>
  <c r="G388" i="1" s="1"/>
  <c r="H388" i="1" s="1"/>
  <c r="G165" i="1" a="1"/>
  <c r="G165" i="1" s="1"/>
  <c r="H165" i="1" s="1"/>
  <c r="G47" i="1" a="1"/>
  <c r="G47" i="1" s="1"/>
  <c r="H47" i="1" s="1"/>
  <c r="G48" i="1" a="1"/>
  <c r="G48" i="1" s="1"/>
  <c r="H48" i="1" s="1"/>
  <c r="G49" i="1" a="1"/>
  <c r="G49" i="1" s="1"/>
  <c r="H49" i="1" s="1"/>
  <c r="G50" i="1" a="1"/>
  <c r="G50" i="1" s="1"/>
  <c r="G147" i="1" a="1"/>
  <c r="G147" i="1" s="1"/>
  <c r="G51" i="1" a="1"/>
  <c r="G51" i="1" s="1"/>
  <c r="G502" i="1" a="1"/>
  <c r="G502" i="1" s="1"/>
  <c r="H502" i="1" s="1"/>
  <c r="G188" i="1" a="1"/>
  <c r="G188" i="1" s="1"/>
  <c r="H188" i="1" s="1"/>
  <c r="G211" i="1" a="1"/>
  <c r="G211" i="1" s="1"/>
  <c r="H211" i="1" s="1"/>
  <c r="G248" i="1" a="1"/>
  <c r="G248" i="1" s="1"/>
  <c r="H248" i="1" s="1"/>
  <c r="G240" i="1" a="1"/>
  <c r="G240" i="1" s="1"/>
  <c r="H240" i="1" s="1"/>
  <c r="G279" i="1" a="1"/>
  <c r="G279" i="1" s="1"/>
  <c r="H279" i="1" s="1"/>
  <c r="G555" i="1" a="1"/>
  <c r="G555" i="1" s="1"/>
  <c r="H555" i="1" s="1"/>
  <c r="G541" i="1" a="1"/>
  <c r="G541" i="1" s="1"/>
  <c r="H541" i="1" s="1"/>
  <c r="G528" i="1" a="1"/>
  <c r="G528" i="1" s="1"/>
  <c r="H528" i="1" s="1"/>
  <c r="G446" i="1" a="1"/>
  <c r="G446" i="1" s="1"/>
  <c r="H446" i="1" s="1"/>
  <c r="G444" i="1" a="1"/>
  <c r="G444" i="1" s="1"/>
  <c r="H444" i="1" s="1"/>
  <c r="G491" i="1" a="1"/>
  <c r="G491" i="1" s="1"/>
  <c r="G411" i="1" a="1"/>
  <c r="G411" i="1" s="1"/>
  <c r="H411" i="1" s="1"/>
  <c r="G509" i="1" a="1"/>
  <c r="G509" i="1" s="1"/>
  <c r="H509" i="1" s="1"/>
  <c r="G202" i="1" a="1"/>
  <c r="G202" i="1" s="1"/>
  <c r="H202" i="1" s="1"/>
  <c r="G452" i="1" a="1"/>
  <c r="G452" i="1" s="1"/>
  <c r="H452" i="1" s="1"/>
  <c r="G178" i="1" a="1"/>
  <c r="G178" i="1" s="1"/>
  <c r="H178" i="1" s="1"/>
  <c r="G190" i="1" a="1"/>
  <c r="G190" i="1" s="1"/>
  <c r="H190" i="1" s="1"/>
  <c r="G440" i="1" a="1"/>
  <c r="G440" i="1" s="1"/>
  <c r="H440" i="1" s="1"/>
  <c r="G52" i="1" a="1"/>
  <c r="G52" i="1" s="1"/>
  <c r="H52" i="1" s="1"/>
  <c r="G467" i="1" a="1"/>
  <c r="G467" i="1" s="1"/>
  <c r="H467" i="1" s="1"/>
  <c r="G324" i="1" a="1"/>
  <c r="G324" i="1" s="1"/>
  <c r="H324" i="1" s="1"/>
  <c r="G194" i="1" a="1"/>
  <c r="G194" i="1" s="1"/>
  <c r="H194" i="1" s="1"/>
  <c r="G369" i="1" a="1"/>
  <c r="G369" i="1" s="1"/>
  <c r="H369" i="1" s="1"/>
  <c r="G195" i="1" a="1"/>
  <c r="G195" i="1" s="1"/>
  <c r="H195" i="1" s="1"/>
  <c r="G416" i="1" a="1"/>
  <c r="G416" i="1" s="1"/>
  <c r="H416" i="1" s="1"/>
  <c r="G435" i="1" a="1"/>
  <c r="G435" i="1" s="1"/>
  <c r="G329" i="1" a="1"/>
  <c r="G329" i="1" s="1"/>
  <c r="H329" i="1" s="1"/>
  <c r="G346" i="1" a="1"/>
  <c r="G346" i="1" s="1"/>
  <c r="H346" i="1" s="1"/>
  <c r="G264" i="1" a="1"/>
  <c r="G264" i="1" s="1"/>
  <c r="H264" i="1" s="1"/>
  <c r="G486" i="1" a="1"/>
  <c r="G486" i="1" s="1"/>
  <c r="H486" i="1" s="1"/>
  <c r="G504" i="1" a="1"/>
  <c r="G504" i="1" s="1"/>
  <c r="H504" i="1" s="1"/>
  <c r="G488" i="1" a="1"/>
  <c r="G488" i="1" s="1"/>
  <c r="H488" i="1" s="1"/>
  <c r="G217" i="1" a="1"/>
  <c r="G217" i="1" s="1"/>
  <c r="H217" i="1" s="1"/>
  <c r="G378" i="1" a="1"/>
  <c r="G378" i="1" s="1"/>
  <c r="H378" i="1" s="1"/>
  <c r="G283" i="1" a="1"/>
  <c r="G283" i="1" s="1"/>
  <c r="H283" i="1" s="1"/>
  <c r="G406" i="1" a="1"/>
  <c r="G406" i="1" s="1"/>
  <c r="G307" i="1" a="1"/>
  <c r="G307" i="1" s="1"/>
  <c r="H307" i="1" s="1"/>
  <c r="G205" i="1" a="1"/>
  <c r="G205" i="1" s="1"/>
  <c r="H205" i="1" s="1"/>
  <c r="G249" i="1" a="1"/>
  <c r="G249" i="1" s="1"/>
  <c r="H249" i="1" s="1"/>
  <c r="G236" i="1" a="1"/>
  <c r="G236" i="1" s="1"/>
  <c r="H236" i="1" s="1"/>
  <c r="G358" i="1" a="1"/>
  <c r="G358" i="1" s="1"/>
  <c r="H358" i="1" s="1"/>
  <c r="G334" i="1" a="1"/>
  <c r="G334" i="1" s="1"/>
  <c r="H334" i="1" s="1"/>
  <c r="G498" i="1" a="1"/>
  <c r="G498" i="1" s="1"/>
  <c r="H498" i="1" s="1"/>
  <c r="G352" i="1" a="1"/>
  <c r="G352" i="1" s="1"/>
  <c r="H352" i="1" s="1"/>
  <c r="G200" i="1" a="1"/>
  <c r="G200" i="1" s="1"/>
  <c r="H200" i="1" s="1"/>
  <c r="G351" i="1" a="1"/>
  <c r="G351" i="1" s="1"/>
  <c r="H351" i="1" s="1"/>
  <c r="G224" i="1" a="1"/>
  <c r="G224" i="1" s="1"/>
  <c r="H224" i="1" s="1"/>
  <c r="G206" i="1" a="1"/>
  <c r="G206" i="1" s="1"/>
  <c r="H206" i="1" s="1"/>
  <c r="G214" i="1" a="1"/>
  <c r="G214" i="1" s="1"/>
  <c r="G355" i="1" a="1"/>
  <c r="G355" i="1" s="1"/>
  <c r="G254" i="1" a="1"/>
  <c r="G254" i="1" s="1"/>
  <c r="H254" i="1" s="1"/>
  <c r="G374" i="1" a="1"/>
  <c r="G374" i="1" s="1"/>
  <c r="H374" i="1" s="1"/>
  <c r="G438" i="1" a="1"/>
  <c r="G438" i="1" s="1"/>
  <c r="H438" i="1" s="1"/>
  <c r="G382" i="1" a="1"/>
  <c r="G382" i="1" s="1"/>
  <c r="G189" i="1" a="1"/>
  <c r="G189" i="1" s="1"/>
  <c r="H189" i="1" s="1"/>
  <c r="G365" i="1" a="1"/>
  <c r="G365" i="1" s="1"/>
  <c r="H365" i="1" s="1"/>
  <c r="G220" i="1" a="1"/>
  <c r="G220" i="1" s="1"/>
  <c r="H220" i="1" s="1"/>
  <c r="G204" i="1" a="1"/>
  <c r="G204" i="1" s="1"/>
  <c r="H204" i="1" s="1"/>
  <c r="G175" i="1" a="1"/>
  <c r="G175" i="1" s="1"/>
  <c r="G170" i="1" a="1"/>
  <c r="G170" i="1" s="1"/>
  <c r="H170" i="1" s="1"/>
  <c r="G199" i="1" a="1"/>
  <c r="G199" i="1" s="1"/>
  <c r="H199" i="1" s="1"/>
  <c r="G448" i="1" a="1"/>
  <c r="G448" i="1" s="1"/>
  <c r="H448" i="1" s="1"/>
  <c r="G187" i="1" a="1"/>
  <c r="G187" i="1" s="1"/>
  <c r="H187" i="1" s="1"/>
  <c r="G213" i="1" a="1"/>
  <c r="G213" i="1" s="1"/>
  <c r="H213" i="1" s="1"/>
  <c r="G366" i="1" a="1"/>
  <c r="G366" i="1" s="1"/>
  <c r="H366" i="1" s="1"/>
  <c r="G558" i="1" a="1"/>
  <c r="G558" i="1" s="1"/>
  <c r="H558" i="1" s="1"/>
  <c r="G321" i="1" a="1"/>
  <c r="G321" i="1" s="1"/>
  <c r="H321" i="1" s="1"/>
  <c r="G427" i="1" a="1"/>
  <c r="G427" i="1" s="1"/>
  <c r="H427" i="1" s="1"/>
  <c r="G489" i="1" a="1"/>
  <c r="G489" i="1" s="1"/>
  <c r="H489" i="1" s="1"/>
  <c r="G550" i="1" a="1"/>
  <c r="G550" i="1" s="1"/>
  <c r="H550" i="1" s="1"/>
  <c r="G549" i="1" a="1"/>
  <c r="G549" i="1" s="1"/>
  <c r="H549" i="1" s="1"/>
  <c r="G150" i="1" a="1"/>
  <c r="G150" i="1" s="1"/>
  <c r="H150" i="1" s="1"/>
  <c r="G439" i="1" a="1"/>
  <c r="G439" i="1" s="1"/>
  <c r="H439" i="1" s="1"/>
  <c r="G457" i="1" a="1"/>
  <c r="G457" i="1" s="1"/>
  <c r="H457" i="1" s="1"/>
  <c r="G413" i="1" a="1"/>
  <c r="G413" i="1" s="1"/>
  <c r="H413" i="1" s="1"/>
  <c r="G312" i="1" a="1"/>
  <c r="G312" i="1" s="1"/>
  <c r="H312" i="1" s="1"/>
  <c r="G260" i="1" a="1"/>
  <c r="G260" i="1" s="1"/>
  <c r="H260" i="1" s="1"/>
  <c r="G276" i="1" a="1"/>
  <c r="G276" i="1" s="1"/>
  <c r="H276" i="1" s="1"/>
  <c r="G317" i="1" a="1"/>
  <c r="G317" i="1" s="1"/>
  <c r="H317" i="1" s="1"/>
  <c r="G398" i="1" a="1"/>
  <c r="G398" i="1" s="1"/>
  <c r="H398" i="1" s="1"/>
  <c r="G519" i="1" a="1"/>
  <c r="G519" i="1" s="1"/>
  <c r="H519" i="1" s="1"/>
  <c r="G245" i="1" a="1"/>
  <c r="G245" i="1" s="1"/>
  <c r="H245" i="1" s="1"/>
  <c r="G557" i="1" a="1"/>
  <c r="G557" i="1" s="1"/>
  <c r="G219" i="1" a="1"/>
  <c r="G219" i="1" s="1"/>
  <c r="H219" i="1" s="1"/>
  <c r="G522" i="1" a="1"/>
  <c r="G522" i="1" s="1"/>
  <c r="H522" i="1" s="1"/>
  <c r="G521" i="1" a="1"/>
  <c r="G521" i="1" s="1"/>
  <c r="H521" i="1" s="1"/>
  <c r="G208" i="1" a="1"/>
  <c r="G208" i="1" s="1"/>
  <c r="H208" i="1" s="1"/>
  <c r="G428" i="1" a="1"/>
  <c r="G428" i="1" s="1"/>
  <c r="H428" i="1" s="1"/>
  <c r="G273" i="1" a="1"/>
  <c r="G273" i="1" s="1"/>
  <c r="H273" i="1" s="1"/>
  <c r="G278" i="1" a="1"/>
  <c r="G278" i="1" s="1"/>
  <c r="H278" i="1" s="1"/>
  <c r="G146" i="1" a="1"/>
  <c r="G146" i="1" s="1"/>
  <c r="H146" i="1" s="1"/>
  <c r="G493" i="1" a="1"/>
  <c r="G493" i="1" s="1"/>
  <c r="H493" i="1" s="1"/>
  <c r="G405" i="1" a="1"/>
  <c r="G405" i="1" s="1"/>
  <c r="H405" i="1" s="1"/>
  <c r="G392" i="1" a="1"/>
  <c r="G392" i="1" s="1"/>
  <c r="H392" i="1" s="1"/>
  <c r="G281" i="1" a="1"/>
  <c r="G281" i="1" s="1"/>
  <c r="H281" i="1" s="1"/>
  <c r="G323" i="1" a="1"/>
  <c r="G323" i="1" s="1"/>
  <c r="H323" i="1" s="1"/>
  <c r="G336" i="1" a="1"/>
  <c r="G336" i="1" s="1"/>
  <c r="G54" i="1" a="1"/>
  <c r="G54" i="1" s="1"/>
  <c r="G192" i="1" a="1"/>
  <c r="G192" i="1" s="1"/>
  <c r="G540" i="1" a="1"/>
  <c r="G540" i="1" s="1"/>
  <c r="H540" i="1" s="1"/>
  <c r="G495" i="1" a="1"/>
  <c r="G495" i="1" s="1"/>
  <c r="H495" i="1" s="1"/>
  <c r="G526" i="1" a="1"/>
  <c r="G526" i="1" s="1"/>
  <c r="G174" i="1" a="1"/>
  <c r="G174" i="1" s="1"/>
  <c r="H174" i="1" s="1"/>
  <c r="G65" i="1" a="1"/>
  <c r="G65" i="1" s="1"/>
  <c r="H65" i="1" s="1"/>
  <c r="G66" i="1" a="1"/>
  <c r="G66" i="1" s="1"/>
  <c r="H66" i="1" s="1"/>
  <c r="G67" i="1" a="1"/>
  <c r="G67" i="1" s="1"/>
  <c r="H67" i="1" s="1"/>
  <c r="G68" i="1" a="1"/>
  <c r="G68" i="1" s="1"/>
  <c r="G182" i="1" a="1"/>
  <c r="G182" i="1" s="1"/>
  <c r="G69" i="1" a="1"/>
  <c r="G69" i="1" s="1"/>
  <c r="H69" i="1" s="1"/>
  <c r="G70" i="1" a="1"/>
  <c r="G70" i="1" s="1"/>
  <c r="H70" i="1" s="1"/>
  <c r="G71" i="1" a="1"/>
  <c r="G71" i="1" s="1"/>
  <c r="H71" i="1" s="1"/>
  <c r="G72" i="1" a="1"/>
  <c r="G72" i="1" s="1"/>
  <c r="H72" i="1" s="1"/>
  <c r="G73" i="1" a="1"/>
  <c r="G73" i="1" s="1"/>
  <c r="G533" i="1" a="1"/>
  <c r="G533" i="1" s="1"/>
  <c r="H533" i="1" s="1"/>
  <c r="G520" i="1" a="1"/>
  <c r="G520" i="1" s="1"/>
  <c r="H520" i="1" s="1"/>
  <c r="G534" i="1" a="1"/>
  <c r="G534" i="1" s="1"/>
  <c r="H534" i="1" s="1"/>
  <c r="G559" i="1" a="1"/>
  <c r="G559" i="1" s="1"/>
  <c r="G560" i="1" a="1"/>
  <c r="G560" i="1" s="1"/>
  <c r="G538" i="1" a="1"/>
  <c r="G538" i="1" s="1"/>
  <c r="G490" i="1" a="1"/>
  <c r="G490" i="1" s="1"/>
  <c r="H490" i="1" s="1"/>
  <c r="G469" i="1" a="1"/>
  <c r="G469" i="1" s="1"/>
  <c r="H469" i="1" s="1"/>
  <c r="G335" i="1" a="1"/>
  <c r="G335" i="1" s="1"/>
  <c r="H335" i="1" s="1"/>
  <c r="G226" i="1" a="1"/>
  <c r="G226" i="1" s="1"/>
  <c r="H226" i="1" s="1"/>
  <c r="G430" i="1" a="1"/>
  <c r="G430" i="1" s="1"/>
  <c r="H430" i="1" s="1"/>
  <c r="G235" i="1" a="1"/>
  <c r="G235" i="1" s="1"/>
  <c r="H235" i="1" s="1"/>
  <c r="G209" i="1" a="1"/>
  <c r="G209" i="1" s="1"/>
  <c r="H209" i="1" s="1"/>
  <c r="G223" i="1" a="1"/>
  <c r="G223" i="1" s="1"/>
  <c r="H223" i="1" s="1"/>
  <c r="G186" i="1" a="1"/>
  <c r="G186" i="1" s="1"/>
  <c r="H186" i="1" s="1"/>
  <c r="G196" i="1" a="1"/>
  <c r="G196" i="1" s="1"/>
  <c r="H196" i="1" s="1"/>
  <c r="G215" i="1" a="1"/>
  <c r="G215" i="1" s="1"/>
  <c r="H215" i="1" s="1"/>
  <c r="G511" i="1" a="1"/>
  <c r="G511" i="1" s="1"/>
  <c r="G458" i="1" a="1"/>
  <c r="G458" i="1" s="1"/>
  <c r="G81" i="1" a="1"/>
  <c r="G81" i="1" s="1"/>
  <c r="H81" i="1" s="1"/>
  <c r="G269" i="1" a="1"/>
  <c r="G269" i="1" s="1"/>
  <c r="H269" i="1" s="1"/>
  <c r="G83" i="1" a="1"/>
  <c r="G83" i="1" s="1"/>
  <c r="G84" i="1" a="1"/>
  <c r="G84" i="1" s="1"/>
  <c r="H84" i="1" s="1"/>
  <c r="G85" i="1" a="1"/>
  <c r="G85" i="1" s="1"/>
  <c r="H85" i="1" s="1"/>
  <c r="G86" i="1" a="1"/>
  <c r="G86" i="1" s="1"/>
  <c r="H86" i="1" s="1"/>
  <c r="G87" i="1" a="1"/>
  <c r="G87" i="1" s="1"/>
  <c r="H87" i="1" s="1"/>
  <c r="G88" i="1" a="1"/>
  <c r="G88" i="1" s="1"/>
  <c r="H88" i="1" s="1"/>
  <c r="G155" i="1" a="1"/>
  <c r="G155" i="1" s="1"/>
  <c r="H155" i="1" s="1"/>
  <c r="G262" i="1" a="1"/>
  <c r="G262" i="1" s="1"/>
  <c r="G261" i="1" a="1"/>
  <c r="G261" i="1" s="1"/>
  <c r="G89" i="1" a="1"/>
  <c r="G89" i="1" s="1"/>
  <c r="H89" i="1" s="1"/>
  <c r="G90" i="1" a="1"/>
  <c r="G90" i="1" s="1"/>
  <c r="H90" i="1" s="1"/>
  <c r="G91" i="1" a="1"/>
  <c r="G91" i="1" s="1"/>
  <c r="H91" i="1" s="1"/>
  <c r="G149" i="1" a="1"/>
  <c r="G149" i="1" s="1"/>
  <c r="H149" i="1" s="1"/>
  <c r="G92" i="1" a="1"/>
  <c r="G92" i="1" s="1"/>
  <c r="H92" i="1" s="1"/>
  <c r="G349" i="1" a="1"/>
  <c r="G349" i="1" s="1"/>
  <c r="H349" i="1" s="1"/>
  <c r="G93" i="1" a="1"/>
  <c r="G93" i="1" s="1"/>
  <c r="H93" i="1" s="1"/>
  <c r="G94" i="1" a="1"/>
  <c r="G94" i="1" s="1"/>
  <c r="H94" i="1" s="1"/>
  <c r="G518" i="1" a="1"/>
  <c r="G518" i="1" s="1"/>
  <c r="H518" i="1" s="1"/>
  <c r="G432" i="1" a="1"/>
  <c r="G432" i="1" s="1"/>
  <c r="H432" i="1" s="1"/>
  <c r="G393" i="1" a="1"/>
  <c r="G393" i="1" s="1"/>
  <c r="H393" i="1" s="1"/>
  <c r="G476" i="1" a="1"/>
  <c r="G476" i="1" s="1"/>
  <c r="H476" i="1" s="1"/>
  <c r="G449" i="1" a="1"/>
  <c r="G449" i="1" s="1"/>
  <c r="H449" i="1" s="1"/>
  <c r="G450" i="1" a="1"/>
  <c r="G450" i="1" s="1"/>
  <c r="H450" i="1" s="1"/>
  <c r="G443" i="1" a="1"/>
  <c r="G443" i="1" s="1"/>
  <c r="H443" i="1" s="1"/>
  <c r="G478" i="1" a="1"/>
  <c r="G478" i="1" s="1"/>
  <c r="H478" i="1" s="1"/>
  <c r="G482" i="1" a="1"/>
  <c r="G482" i="1" s="1"/>
  <c r="H482" i="1" s="1"/>
  <c r="G277" i="1" a="1"/>
  <c r="G277" i="1" s="1"/>
  <c r="H277" i="1" s="1"/>
  <c r="G338" i="1" a="1"/>
  <c r="G338" i="1" s="1"/>
  <c r="H338" i="1" s="1"/>
  <c r="G316" i="1" a="1"/>
  <c r="G316" i="1" s="1"/>
  <c r="H316" i="1" s="1"/>
  <c r="G257" i="1" a="1"/>
  <c r="G257" i="1" s="1"/>
  <c r="H257" i="1" s="1"/>
  <c r="G494" i="1" a="1"/>
  <c r="G494" i="1" s="1"/>
  <c r="H494" i="1" s="1"/>
  <c r="G289" i="1" a="1"/>
  <c r="G289" i="1" s="1"/>
  <c r="H289" i="1" s="1"/>
  <c r="G455" i="1" a="1"/>
  <c r="G455" i="1" s="1"/>
  <c r="H455" i="1" s="1"/>
  <c r="G431" i="1" a="1"/>
  <c r="G431" i="1" s="1"/>
  <c r="H431" i="1" s="1"/>
  <c r="G272" i="1" a="1"/>
  <c r="G272" i="1" s="1"/>
  <c r="H272" i="1" s="1"/>
  <c r="G442" i="1" a="1"/>
  <c r="G442" i="1" s="1"/>
  <c r="H442" i="1" s="1"/>
  <c r="G429" i="1" a="1"/>
  <c r="G429" i="1" s="1"/>
  <c r="G105" i="1" a="1"/>
  <c r="G105" i="1" s="1"/>
  <c r="H105" i="1" s="1"/>
  <c r="G345" i="1" a="1"/>
  <c r="G345" i="1" s="1"/>
  <c r="H345" i="1" s="1"/>
  <c r="G106" i="1" a="1"/>
  <c r="G106" i="1" s="1"/>
  <c r="H106" i="1" s="1"/>
  <c r="G107" i="1" a="1"/>
  <c r="G107" i="1" s="1"/>
  <c r="H107" i="1" s="1"/>
  <c r="G108" i="1" a="1"/>
  <c r="G108" i="1" s="1"/>
  <c r="H108" i="1" s="1"/>
  <c r="G109" i="1" a="1"/>
  <c r="G109" i="1" s="1"/>
  <c r="H109" i="1" s="1"/>
  <c r="G160" i="1" a="1"/>
  <c r="G160" i="1" s="1"/>
  <c r="H160" i="1" s="1"/>
  <c r="G166" i="1" a="1"/>
  <c r="G166" i="1" s="1"/>
  <c r="H166" i="1" s="1"/>
  <c r="G110" i="1" a="1"/>
  <c r="G110" i="1" s="1"/>
  <c r="G111" i="1" a="1"/>
  <c r="G111" i="1" s="1"/>
  <c r="H111" i="1" s="1"/>
  <c r="G180" i="1" a="1"/>
  <c r="G180" i="1" s="1"/>
  <c r="H180" i="1" s="1"/>
  <c r="G112" i="1" a="1"/>
  <c r="G112" i="1" s="1"/>
  <c r="H112" i="1" s="1"/>
  <c r="G113" i="1" a="1"/>
  <c r="G113" i="1" s="1"/>
  <c r="H113" i="1" s="1"/>
  <c r="G114" i="1" a="1"/>
  <c r="G114" i="1" s="1"/>
  <c r="H114" i="1" s="1"/>
  <c r="G537" i="1" a="1"/>
  <c r="G537" i="1" s="1"/>
  <c r="H537" i="1" s="1"/>
  <c r="G551" i="1" a="1"/>
  <c r="G551" i="1" s="1"/>
  <c r="H551" i="1" s="1"/>
  <c r="G530" i="1" a="1"/>
  <c r="G530" i="1" s="1"/>
  <c r="H530" i="1" s="1"/>
  <c r="G556" i="1" a="1"/>
  <c r="G556" i="1" s="1"/>
  <c r="H556" i="1" s="1"/>
  <c r="G552" i="1" a="1"/>
  <c r="G552" i="1" s="1"/>
  <c r="H552" i="1" s="1"/>
  <c r="G545" i="1" a="1"/>
  <c r="G545" i="1" s="1"/>
  <c r="H545" i="1" s="1"/>
  <c r="G543" i="1" a="1"/>
  <c r="G543" i="1" s="1"/>
  <c r="H543" i="1" s="1"/>
  <c r="G553" i="1" a="1"/>
  <c r="G553" i="1" s="1"/>
  <c r="H553" i="1" s="1"/>
  <c r="G544" i="1" a="1"/>
  <c r="G544" i="1" s="1"/>
  <c r="H544" i="1" s="1"/>
  <c r="G548" i="1" a="1"/>
  <c r="G548" i="1" s="1"/>
  <c r="H548" i="1" s="1"/>
  <c r="G525" i="1" a="1"/>
  <c r="G525" i="1" s="1"/>
  <c r="H525" i="1" s="1"/>
  <c r="G479" i="1" a="1"/>
  <c r="G479" i="1" s="1"/>
  <c r="H479" i="1" s="1"/>
  <c r="G119" i="1" a="1"/>
  <c r="G119" i="1" s="1"/>
  <c r="H119" i="1" s="1"/>
  <c r="G120" i="1" a="1"/>
  <c r="G120" i="1" s="1"/>
  <c r="G348" i="1" a="1"/>
  <c r="G348" i="1" s="1"/>
  <c r="H348" i="1" s="1"/>
  <c r="G386" i="1" a="1"/>
  <c r="G386" i="1" s="1"/>
  <c r="H386" i="1" s="1"/>
  <c r="G284" i="1" a="1"/>
  <c r="G284" i="1" s="1"/>
  <c r="H284" i="1" s="1"/>
  <c r="G320" i="1" a="1"/>
  <c r="G320" i="1" s="1"/>
  <c r="H320" i="1" s="1"/>
  <c r="G266" i="1" a="1"/>
  <c r="G266" i="1" s="1"/>
  <c r="H266" i="1" s="1"/>
  <c r="G294" i="1" a="1"/>
  <c r="G294" i="1" s="1"/>
  <c r="H294" i="1" s="1"/>
  <c r="G408" i="1" a="1"/>
  <c r="G408" i="1" s="1"/>
  <c r="H408" i="1" s="1"/>
  <c r="G404" i="1" a="1"/>
  <c r="G404" i="1" s="1"/>
  <c r="H404" i="1" s="1"/>
  <c r="G396" i="1" a="1"/>
  <c r="G396" i="1" s="1"/>
  <c r="H396" i="1" s="1"/>
  <c r="G399" i="1" a="1"/>
  <c r="G399" i="1" s="1"/>
  <c r="H399" i="1" s="1"/>
  <c r="G389" i="1" a="1"/>
  <c r="G389" i="1" s="1"/>
  <c r="H389" i="1" s="1"/>
  <c r="G263" i="1" a="1"/>
  <c r="G263" i="1" s="1"/>
  <c r="H263" i="1" s="1"/>
  <c r="G505" i="1" a="1"/>
  <c r="G505" i="1" s="1"/>
  <c r="H505" i="1" s="1"/>
  <c r="G471" i="1" a="1"/>
  <c r="G471" i="1" s="1"/>
  <c r="H471" i="1" s="1"/>
  <c r="G381" i="1" a="1"/>
  <c r="G381" i="1" s="1"/>
  <c r="H381" i="1" s="1"/>
  <c r="G394" i="1" a="1"/>
  <c r="G394" i="1" s="1"/>
  <c r="H394" i="1" s="1"/>
  <c r="G128" i="1" a="1"/>
  <c r="G128" i="1" s="1"/>
  <c r="H128" i="1" s="1"/>
  <c r="G298" i="1" a="1"/>
  <c r="G298" i="1" s="1"/>
  <c r="H298" i="1" s="1"/>
  <c r="G418" i="1" a="1"/>
  <c r="G418" i="1" s="1"/>
  <c r="H418" i="1" s="1"/>
  <c r="G402" i="1" a="1"/>
  <c r="G402" i="1" s="1"/>
  <c r="H402" i="1" s="1"/>
  <c r="G305" i="1" a="1"/>
  <c r="G305" i="1" s="1"/>
  <c r="H305" i="1" s="1"/>
  <c r="G371" i="1" a="1"/>
  <c r="G371" i="1" s="1"/>
  <c r="H371" i="1" s="1"/>
  <c r="G295" i="1" a="1"/>
  <c r="G295" i="1" s="1"/>
  <c r="H295" i="1" s="1"/>
  <c r="G234" i="1" a="1"/>
  <c r="G234" i="1" s="1"/>
  <c r="H234" i="1" s="1"/>
  <c r="G229" i="1" a="1"/>
  <c r="G229" i="1" s="1"/>
  <c r="H229" i="1" s="1"/>
  <c r="G251" i="1" a="1"/>
  <c r="G251" i="1" s="1"/>
  <c r="H251" i="1" s="1"/>
  <c r="G207" i="1" a="1"/>
  <c r="G207" i="1" s="1"/>
  <c r="H207" i="1" s="1"/>
  <c r="G172" i="1" a="1"/>
  <c r="G172" i="1" s="1"/>
  <c r="H172" i="1" s="1"/>
  <c r="G228" i="1" a="1"/>
  <c r="G228" i="1" s="1"/>
  <c r="H228" i="1" s="1"/>
  <c r="G135" i="1" a="1"/>
  <c r="G135" i="1" s="1"/>
  <c r="H135" i="1" s="1"/>
  <c r="G136" i="1" a="1"/>
  <c r="G136" i="1" s="1"/>
  <c r="H136" i="1" s="1"/>
  <c r="G137" i="1" a="1"/>
  <c r="G137" i="1" s="1"/>
  <c r="H137" i="1" s="1"/>
  <c r="G138" i="1" a="1"/>
  <c r="G138" i="1" s="1"/>
  <c r="H138" i="1" s="1"/>
  <c r="G139" i="1" a="1"/>
  <c r="G139" i="1" s="1"/>
  <c r="H139" i="1" s="1"/>
  <c r="G140" i="1" a="1"/>
  <c r="G140" i="1" s="1"/>
  <c r="H140" i="1" s="1"/>
  <c r="G145" i="1" a="1"/>
  <c r="G145" i="1" s="1"/>
  <c r="H145" i="1" s="1"/>
  <c r="G141" i="1" a="1"/>
  <c r="G141" i="1" s="1"/>
  <c r="H141" i="1" s="1"/>
  <c r="G142" i="1" a="1"/>
  <c r="G142" i="1" s="1"/>
  <c r="G143" i="1" a="1"/>
  <c r="G143" i="1" s="1"/>
  <c r="G368" i="1" a="1"/>
  <c r="G368" i="1" s="1"/>
  <c r="G531" i="1" a="1"/>
  <c r="G531" i="1" s="1"/>
  <c r="H531" i="1" s="1"/>
  <c r="F241" i="1"/>
  <c r="F237" i="1"/>
  <c r="F6" i="1"/>
  <c r="F372" i="1"/>
  <c r="F477" i="1"/>
  <c r="F7" i="1"/>
  <c r="F401" i="1"/>
  <c r="F423" i="1"/>
  <c r="F364" i="1"/>
  <c r="F285" i="1"/>
  <c r="F246" i="1"/>
  <c r="F159" i="1"/>
  <c r="F299" i="1"/>
  <c r="F218" i="1"/>
  <c r="F184" i="1"/>
  <c r="F459" i="1"/>
  <c r="F419" i="1"/>
  <c r="F403" i="1"/>
  <c r="F426" i="1"/>
  <c r="F375" i="1"/>
  <c r="F417" i="1"/>
  <c r="F311" i="1"/>
  <c r="F434" i="1"/>
  <c r="F483" i="1"/>
  <c r="F424" i="1"/>
  <c r="F361" i="1"/>
  <c r="F225" i="1"/>
  <c r="F529" i="1"/>
  <c r="F475" i="1"/>
  <c r="F356" i="1"/>
  <c r="F8" i="1"/>
  <c r="F227" i="1"/>
  <c r="F152" i="1"/>
  <c r="F9" i="1"/>
  <c r="F148" i="1"/>
  <c r="F10" i="1"/>
  <c r="F11" i="1"/>
  <c r="F12" i="1"/>
  <c r="F252" i="1"/>
  <c r="F340" i="1"/>
  <c r="F322" i="1"/>
  <c r="F300" i="1"/>
  <c r="F302" i="1"/>
  <c r="F421" i="1"/>
  <c r="F414" i="1"/>
  <c r="F380" i="1"/>
  <c r="F456" i="1"/>
  <c r="F13" i="1"/>
  <c r="F14" i="1"/>
  <c r="F15" i="1"/>
  <c r="F306" i="1"/>
  <c r="F16" i="1"/>
  <c r="F472" i="1"/>
  <c r="F485" i="1"/>
  <c r="F474" i="1"/>
  <c r="F407" i="1"/>
  <c r="F181" i="1"/>
  <c r="F507" i="1"/>
  <c r="F425" i="1"/>
  <c r="F463" i="1"/>
  <c r="F453" i="1"/>
  <c r="F515" i="1"/>
  <c r="F496" i="1"/>
  <c r="F480" i="1"/>
  <c r="F536" i="1"/>
  <c r="F523" i="1"/>
  <c r="F510" i="1"/>
  <c r="F441" i="1"/>
  <c r="F433" i="1"/>
  <c r="F466" i="1"/>
  <c r="F231" i="1"/>
  <c r="F436" i="1"/>
  <c r="F290" i="1"/>
  <c r="F546" i="1"/>
  <c r="F501" i="1"/>
  <c r="F350" i="1"/>
  <c r="F163" i="1"/>
  <c r="F313" i="1"/>
  <c r="F332" i="1"/>
  <c r="F497" i="1"/>
  <c r="F395" i="1"/>
  <c r="F221" i="1"/>
  <c r="F259" i="1"/>
  <c r="F379" i="1"/>
  <c r="F343" i="1"/>
  <c r="F177" i="1"/>
  <c r="F275" i="1"/>
  <c r="F532" i="1"/>
  <c r="F535" i="1"/>
  <c r="F539" i="1"/>
  <c r="F513" i="1"/>
  <c r="F17" i="1"/>
  <c r="F176" i="1"/>
  <c r="F437" i="1"/>
  <c r="F363" i="1"/>
  <c r="F376" i="1"/>
  <c r="F286" i="1"/>
  <c r="F161" i="1"/>
  <c r="F212" i="1"/>
  <c r="F341" i="1"/>
  <c r="F162" i="1"/>
  <c r="F514" i="1"/>
  <c r="F293" i="1"/>
  <c r="F198" i="1"/>
  <c r="F179" i="1"/>
  <c r="F18" i="1"/>
  <c r="F445" i="1"/>
  <c r="F492" i="1"/>
  <c r="F243" i="1"/>
  <c r="F318" i="1"/>
  <c r="F357" i="1"/>
  <c r="F239" i="1"/>
  <c r="F508" i="1"/>
  <c r="F390" i="1"/>
  <c r="F19" i="1"/>
  <c r="F255" i="1"/>
  <c r="F315" i="1"/>
  <c r="F499" i="1"/>
  <c r="F516" i="1"/>
  <c r="F468" i="1"/>
  <c r="F397" i="1"/>
  <c r="F20" i="1"/>
  <c r="F420" i="1"/>
  <c r="F21" i="1"/>
  <c r="F22" i="1"/>
  <c r="F23" i="1"/>
  <c r="F377" i="1"/>
  <c r="F362" i="1"/>
  <c r="F183" i="1"/>
  <c r="F253" i="1"/>
  <c r="F203" i="1"/>
  <c r="F24" i="1"/>
  <c r="F400" i="1"/>
  <c r="F25" i="1"/>
  <c r="F385" i="1"/>
  <c r="F310" i="1"/>
  <c r="F470" i="1"/>
  <c r="F367" i="1"/>
  <c r="F370" i="1"/>
  <c r="F465" i="1"/>
  <c r="F26" i="1"/>
  <c r="F27" i="1"/>
  <c r="F28" i="1"/>
  <c r="F29" i="1"/>
  <c r="F30" i="1"/>
  <c r="F461" i="1"/>
  <c r="F31" i="1"/>
  <c r="F32" i="1"/>
  <c r="F297" i="1"/>
  <c r="F33" i="1"/>
  <c r="F34" i="1"/>
  <c r="F230" i="1"/>
  <c r="F35" i="1"/>
  <c r="F36" i="1"/>
  <c r="F37" i="1"/>
  <c r="F38" i="1"/>
  <c r="F39" i="1"/>
  <c r="F40" i="1"/>
  <c r="F325" i="1"/>
  <c r="F173" i="1"/>
  <c r="F391" i="1"/>
  <c r="F451" i="1"/>
  <c r="F41" i="1"/>
  <c r="F387" i="1"/>
  <c r="F304" i="1"/>
  <c r="F271" i="1"/>
  <c r="F301" i="1"/>
  <c r="F524" i="1"/>
  <c r="F554" i="1"/>
  <c r="F410" i="1"/>
  <c r="F314" i="1"/>
  <c r="F360" i="1"/>
  <c r="F454" i="1"/>
  <c r="F354" i="1"/>
  <c r="F383" i="1"/>
  <c r="F330" i="1"/>
  <c r="F268" i="1"/>
  <c r="F473" i="1"/>
  <c r="F274" i="1"/>
  <c r="F503" i="1"/>
  <c r="F331" i="1"/>
  <c r="F359" i="1"/>
  <c r="F250" i="1"/>
  <c r="F288" i="1"/>
  <c r="F42" i="1"/>
  <c r="F43" i="1"/>
  <c r="F256" i="1"/>
  <c r="F44" i="1"/>
  <c r="F45" i="1"/>
  <c r="F462" i="1"/>
  <c r="F460" i="1"/>
  <c r="F409" i="1"/>
  <c r="F328" i="1"/>
  <c r="F415" i="1"/>
  <c r="F309" i="1"/>
  <c r="F151" i="1"/>
  <c r="F339" i="1"/>
  <c r="F344" i="1"/>
  <c r="F287" i="1"/>
  <c r="F337" i="1"/>
  <c r="F193" i="1"/>
  <c r="F242" i="1"/>
  <c r="F342" i="1"/>
  <c r="F222" i="1"/>
  <c r="F185" i="1"/>
  <c r="F292" i="1"/>
  <c r="F353" i="1"/>
  <c r="F247" i="1"/>
  <c r="F216" i="1"/>
  <c r="F267" i="1"/>
  <c r="F46" i="1"/>
  <c r="F388" i="1"/>
  <c r="F165" i="1"/>
  <c r="F47" i="1"/>
  <c r="F48" i="1"/>
  <c r="F49" i="1"/>
  <c r="F50" i="1"/>
  <c r="F147" i="1"/>
  <c r="F51" i="1"/>
  <c r="F502" i="1"/>
  <c r="F188" i="1"/>
  <c r="F211" i="1"/>
  <c r="F248" i="1"/>
  <c r="F240" i="1"/>
  <c r="F279" i="1"/>
  <c r="F555" i="1"/>
  <c r="F541" i="1"/>
  <c r="F528" i="1"/>
  <c r="F446" i="1"/>
  <c r="F444" i="1"/>
  <c r="F491" i="1"/>
  <c r="F411" i="1"/>
  <c r="F509" i="1"/>
  <c r="F202" i="1"/>
  <c r="F452" i="1"/>
  <c r="F178" i="1"/>
  <c r="F190" i="1"/>
  <c r="F440" i="1"/>
  <c r="F52" i="1"/>
  <c r="F467" i="1"/>
  <c r="F324" i="1"/>
  <c r="F194" i="1"/>
  <c r="F369" i="1"/>
  <c r="F195" i="1"/>
  <c r="F416" i="1"/>
  <c r="F435" i="1"/>
  <c r="F329" i="1"/>
  <c r="F346" i="1"/>
  <c r="F264" i="1"/>
  <c r="F486" i="1"/>
  <c r="F504" i="1"/>
  <c r="F488" i="1"/>
  <c r="F217" i="1"/>
  <c r="F378" i="1"/>
  <c r="F283" i="1"/>
  <c r="F406" i="1"/>
  <c r="F307" i="1"/>
  <c r="F205" i="1"/>
  <c r="F249" i="1"/>
  <c r="F236" i="1"/>
  <c r="F358" i="1"/>
  <c r="F334" i="1"/>
  <c r="F498" i="1"/>
  <c r="F352" i="1"/>
  <c r="F200" i="1"/>
  <c r="F351" i="1"/>
  <c r="F224" i="1"/>
  <c r="F206" i="1"/>
  <c r="F214" i="1"/>
  <c r="F355" i="1"/>
  <c r="F254" i="1"/>
  <c r="F374" i="1"/>
  <c r="F438" i="1"/>
  <c r="F382" i="1"/>
  <c r="F189" i="1"/>
  <c r="F365" i="1"/>
  <c r="F220" i="1"/>
  <c r="F204" i="1"/>
  <c r="F175" i="1"/>
  <c r="F170" i="1"/>
  <c r="F199" i="1"/>
  <c r="F448" i="1"/>
  <c r="F187" i="1"/>
  <c r="F213" i="1"/>
  <c r="F366" i="1"/>
  <c r="F558" i="1"/>
  <c r="F321" i="1"/>
  <c r="F427" i="1"/>
  <c r="F489" i="1"/>
  <c r="F550" i="1"/>
  <c r="F549" i="1"/>
  <c r="F150" i="1"/>
  <c r="F439" i="1"/>
  <c r="F457" i="1"/>
  <c r="F413" i="1"/>
  <c r="F312" i="1"/>
  <c r="F260" i="1"/>
  <c r="F276" i="1"/>
  <c r="F317" i="1"/>
  <c r="F398" i="1"/>
  <c r="F519" i="1"/>
  <c r="F245" i="1"/>
  <c r="F557" i="1"/>
  <c r="F219" i="1"/>
  <c r="F522" i="1"/>
  <c r="F521" i="1"/>
  <c r="F208" i="1"/>
  <c r="F428" i="1"/>
  <c r="F273" i="1"/>
  <c r="F278" i="1"/>
  <c r="F146" i="1"/>
  <c r="F493" i="1"/>
  <c r="F405" i="1"/>
  <c r="F392" i="1"/>
  <c r="F281" i="1"/>
  <c r="F323" i="1"/>
  <c r="F154" i="1"/>
  <c r="F422" i="1"/>
  <c r="F384" i="1"/>
  <c r="F336" i="1"/>
  <c r="F169" i="1"/>
  <c r="F158" i="1"/>
  <c r="F53" i="1"/>
  <c r="F54" i="1"/>
  <c r="F55" i="1"/>
  <c r="F56" i="1"/>
  <c r="F57" i="1"/>
  <c r="F58" i="1"/>
  <c r="F59" i="1"/>
  <c r="F201" i="1"/>
  <c r="F167" i="1"/>
  <c r="F60" i="1"/>
  <c r="F61" i="1"/>
  <c r="F517" i="1"/>
  <c r="F326" i="1"/>
  <c r="F62" i="1"/>
  <c r="F192" i="1"/>
  <c r="F540" i="1"/>
  <c r="F63" i="1"/>
  <c r="F64" i="1"/>
  <c r="F495" i="1"/>
  <c r="F526" i="1"/>
  <c r="F174" i="1"/>
  <c r="F65" i="1"/>
  <c r="F66" i="1"/>
  <c r="F67" i="1"/>
  <c r="F68" i="1"/>
  <c r="F182" i="1"/>
  <c r="F69" i="1"/>
  <c r="F70" i="1"/>
  <c r="F71" i="1"/>
  <c r="F72" i="1"/>
  <c r="F73" i="1"/>
  <c r="F168" i="1"/>
  <c r="F74" i="1"/>
  <c r="F75" i="1"/>
  <c r="F533" i="1"/>
  <c r="F197" i="1"/>
  <c r="F520" i="1"/>
  <c r="F534" i="1"/>
  <c r="F559" i="1"/>
  <c r="F560" i="1"/>
  <c r="F538" i="1"/>
  <c r="F490" i="1"/>
  <c r="F469" i="1"/>
  <c r="F335" i="1"/>
  <c r="F226" i="1"/>
  <c r="F430" i="1"/>
  <c r="F235" i="1"/>
  <c r="F209" i="1"/>
  <c r="F223" i="1"/>
  <c r="F186" i="1"/>
  <c r="F196" i="1"/>
  <c r="F215" i="1"/>
  <c r="F511" i="1"/>
  <c r="F458" i="1"/>
  <c r="F500" i="1"/>
  <c r="F76" i="1"/>
  <c r="F153" i="1"/>
  <c r="F77" i="1"/>
  <c r="F78" i="1"/>
  <c r="F79" i="1"/>
  <c r="F157" i="1"/>
  <c r="F156" i="1"/>
  <c r="F347" i="1"/>
  <c r="F232" i="1"/>
  <c r="F191" i="1"/>
  <c r="F80" i="1"/>
  <c r="F81" i="1"/>
  <c r="F269" i="1"/>
  <c r="F82" i="1"/>
  <c r="F83" i="1"/>
  <c r="F481" i="1"/>
  <c r="F84" i="1"/>
  <c r="F85" i="1"/>
  <c r="F86" i="1"/>
  <c r="F87" i="1"/>
  <c r="F88" i="1"/>
  <c r="F155" i="1"/>
  <c r="F262" i="1"/>
  <c r="F261" i="1"/>
  <c r="F89" i="1"/>
  <c r="F90" i="1"/>
  <c r="F91" i="1"/>
  <c r="F149" i="1"/>
  <c r="F92" i="1"/>
  <c r="F349" i="1"/>
  <c r="F93" i="1"/>
  <c r="F94" i="1"/>
  <c r="F518" i="1"/>
  <c r="F432" i="1"/>
  <c r="F393" i="1"/>
  <c r="F476" i="1"/>
  <c r="F449" i="1"/>
  <c r="F450" i="1"/>
  <c r="F443" i="1"/>
  <c r="F478" i="1"/>
  <c r="F482" i="1"/>
  <c r="F277" i="1"/>
  <c r="F338" i="1"/>
  <c r="F316" i="1"/>
  <c r="F257" i="1"/>
  <c r="F494" i="1"/>
  <c r="F289" i="1"/>
  <c r="F455" i="1"/>
  <c r="F431" i="1"/>
  <c r="F272" i="1"/>
  <c r="F442" i="1"/>
  <c r="F95" i="1"/>
  <c r="F96" i="1"/>
  <c r="F527" i="1"/>
  <c r="F484" i="1"/>
  <c r="F97" i="1"/>
  <c r="F98" i="1"/>
  <c r="F99" i="1"/>
  <c r="F100" i="1"/>
  <c r="F101" i="1"/>
  <c r="F102" i="1"/>
  <c r="F429" i="1"/>
  <c r="F103" i="1"/>
  <c r="F104" i="1"/>
  <c r="F105" i="1"/>
  <c r="F164" i="1"/>
  <c r="F345" i="1"/>
  <c r="F106" i="1"/>
  <c r="F107" i="1"/>
  <c r="F108" i="1"/>
  <c r="F109" i="1"/>
  <c r="F160" i="1"/>
  <c r="F166" i="1"/>
  <c r="F110" i="1"/>
  <c r="F111" i="1"/>
  <c r="F180" i="1"/>
  <c r="F112" i="1"/>
  <c r="F113" i="1"/>
  <c r="F114" i="1"/>
  <c r="F506" i="1"/>
  <c r="F537" i="1"/>
  <c r="F551" i="1"/>
  <c r="F530" i="1"/>
  <c r="F556" i="1"/>
  <c r="F552" i="1"/>
  <c r="F545" i="1"/>
  <c r="F543" i="1"/>
  <c r="F553" i="1"/>
  <c r="F544" i="1"/>
  <c r="F548" i="1"/>
  <c r="F525" i="1"/>
  <c r="F479" i="1"/>
  <c r="F115" i="1"/>
  <c r="F116" i="1"/>
  <c r="F117" i="1"/>
  <c r="F118" i="1"/>
  <c r="F464" i="1"/>
  <c r="F291" i="1"/>
  <c r="F119" i="1"/>
  <c r="F120" i="1"/>
  <c r="F348" i="1"/>
  <c r="F386" i="1"/>
  <c r="F282" i="1"/>
  <c r="F144" i="1"/>
  <c r="F270" i="1"/>
  <c r="F121" i="1"/>
  <c r="F412" i="1"/>
  <c r="F122" i="1"/>
  <c r="F542" i="1"/>
  <c r="F487" i="1"/>
  <c r="F296" i="1"/>
  <c r="F258" i="1"/>
  <c r="F284" i="1"/>
  <c r="F320" i="1"/>
  <c r="F266" i="1"/>
  <c r="F294" i="1"/>
  <c r="F447" i="1"/>
  <c r="F373" i="1"/>
  <c r="F327" i="1"/>
  <c r="F123" i="1"/>
  <c r="F308" i="1"/>
  <c r="F333" i="1"/>
  <c r="F124" i="1"/>
  <c r="F125" i="1"/>
  <c r="F126" i="1"/>
  <c r="F127" i="1"/>
  <c r="F408" i="1"/>
  <c r="F404" i="1"/>
  <c r="F396" i="1"/>
  <c r="F399" i="1"/>
  <c r="F389" i="1"/>
  <c r="F263" i="1"/>
  <c r="F505" i="1"/>
  <c r="F471" i="1"/>
  <c r="F381" i="1"/>
  <c r="F394" i="1"/>
  <c r="F128" i="1"/>
  <c r="F298" i="1"/>
  <c r="F418" i="1"/>
  <c r="F402" i="1"/>
  <c r="F305" i="1"/>
  <c r="F371" i="1"/>
  <c r="F295" i="1"/>
  <c r="F512" i="1"/>
  <c r="F265" i="1"/>
  <c r="F303" i="1"/>
  <c r="F280" i="1"/>
  <c r="F129" i="1"/>
  <c r="F233" i="1"/>
  <c r="F319" i="1"/>
  <c r="F234" i="1"/>
  <c r="F229" i="1"/>
  <c r="F547" i="1"/>
  <c r="F238" i="1"/>
  <c r="F130" i="1"/>
  <c r="F131" i="1"/>
  <c r="F132" i="1"/>
  <c r="F133" i="1"/>
  <c r="F171" i="1"/>
  <c r="F210" i="1"/>
  <c r="F134" i="1"/>
  <c r="F251" i="1"/>
  <c r="F207" i="1"/>
  <c r="F172" i="1"/>
  <c r="F228" i="1"/>
  <c r="F135" i="1"/>
  <c r="F136" i="1"/>
  <c r="F137" i="1"/>
  <c r="F138" i="1"/>
  <c r="F139" i="1"/>
  <c r="F140" i="1"/>
  <c r="F145" i="1"/>
  <c r="F141" i="1"/>
  <c r="F142" i="1"/>
  <c r="F143" i="1"/>
  <c r="F368" i="1"/>
  <c r="F531" i="1"/>
  <c r="F2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<sst xmlns="http://schemas.openxmlformats.org/spreadsheetml/2006/main" count="3285" uniqueCount="797">
  <si>
    <r>
      <rPr>
        <b/>
        <sz val="11"/>
        <color rgb="FFFFFFFF"/>
        <rFont val="Arial"/>
        <family val="2"/>
      </rPr>
      <t>Notes de tall 1a assignació Juny 2025 (11/07/25)</t>
    </r>
  </si>
  <si>
    <r>
      <rPr>
        <b/>
        <sz val="11"/>
        <color rgb="FFFFFFFF"/>
        <rFont val="Arial"/>
        <family val="2"/>
      </rPr>
      <t>Ordre alfabètic per centre d'estudi</t>
    </r>
  </si>
  <si>
    <r>
      <rPr>
        <b/>
        <sz val="10"/>
        <rFont val="Arial"/>
        <family val="2"/>
      </rPr>
      <t>ESTUDIS DE GRAU I TÍTOLS PROPIS</t>
    </r>
  </si>
  <si>
    <r>
      <rPr>
        <b/>
        <i/>
        <sz val="10"/>
        <color rgb="FFFFFFFF"/>
        <rFont val="Arial"/>
        <family val="2"/>
      </rPr>
      <t>Codi</t>
    </r>
  </si>
  <si>
    <r>
      <rPr>
        <b/>
        <i/>
        <sz val="10"/>
        <color rgb="FFFFFFFF"/>
        <rFont val="Arial"/>
        <family val="2"/>
      </rPr>
      <t>Nom del centre d'estudi i població</t>
    </r>
  </si>
  <si>
    <r>
      <rPr>
        <b/>
        <i/>
        <sz val="10"/>
        <color rgb="FFFFFFFF"/>
        <rFont val="Arial"/>
        <family val="2"/>
      </rPr>
      <t>Sigles Universitat</t>
    </r>
  </si>
  <si>
    <r>
      <rPr>
        <b/>
        <i/>
        <sz val="10"/>
        <color rgb="FFFFFFFF"/>
        <rFont val="Arial"/>
        <family val="2"/>
      </rPr>
      <t>PAU / CFGS</t>
    </r>
  </si>
  <si>
    <r>
      <rPr>
        <b/>
        <i/>
        <sz val="10"/>
        <color rgb="FFFFFFFF"/>
        <rFont val="Arial"/>
        <family val="2"/>
      </rPr>
      <t>Més grans de 25 anys</t>
    </r>
  </si>
  <si>
    <r>
      <rPr>
        <b/>
        <i/>
        <sz val="10"/>
        <color rgb="FFFFFFFF"/>
        <rFont val="Arial"/>
        <family val="2"/>
      </rPr>
      <t>Titulats universitaris</t>
    </r>
  </si>
  <si>
    <r>
      <rPr>
        <b/>
        <i/>
        <sz val="10"/>
        <color rgb="FFFFFFFF"/>
        <rFont val="Arial"/>
        <family val="2"/>
      </rPr>
      <t>Més grans de 45 anys</t>
    </r>
  </si>
  <si>
    <r>
      <rPr>
        <sz val="10"/>
        <rFont val="Arial MT"/>
        <family val="2"/>
      </rPr>
      <t>Administració d'Empreses i Gestió de la Innovació "Tecnocampus" (Mataró)</t>
    </r>
  </si>
  <si>
    <r>
      <rPr>
        <sz val="10"/>
        <rFont val="Arial MT"/>
        <family val="2"/>
      </rPr>
      <t>UPF</t>
    </r>
  </si>
  <si>
    <r>
      <rPr>
        <sz val="10"/>
        <rFont val="Arial MT"/>
        <family val="2"/>
      </rPr>
      <t xml:space="preserve">Administració d'Empreses i Gestió de la Innovació "Tecnocampus" (docència en
</t>
    </r>
    <r>
      <rPr>
        <sz val="10"/>
        <rFont val="Arial MT"/>
        <family val="2"/>
      </rPr>
      <t>Anglès) (Mataró)</t>
    </r>
  </si>
  <si>
    <r>
      <rPr>
        <sz val="10"/>
        <rFont val="Arial MT"/>
        <family val="2"/>
      </rPr>
      <t xml:space="preserve">Administració d'Empreses i Gestió de la Innovació / Màrqueting i Comunitats
</t>
    </r>
    <r>
      <rPr>
        <sz val="10"/>
        <rFont val="Arial MT"/>
        <family val="2"/>
      </rPr>
      <t>Digitals "Tecnocampus" (simultaneïtat) (Mataró)</t>
    </r>
  </si>
  <si>
    <r>
      <rPr>
        <sz val="10"/>
        <rFont val="Arial MT"/>
        <family val="2"/>
      </rPr>
      <t xml:space="preserve">Administració d'Empreses i Gestió de la Innovació / Turisme i Gestió del Lleure
</t>
    </r>
    <r>
      <rPr>
        <sz val="10"/>
        <rFont val="Arial MT"/>
        <family val="2"/>
      </rPr>
      <t>"Tecnocampus" (simultaneïtat) (Mataró)</t>
    </r>
  </si>
  <si>
    <r>
      <rPr>
        <sz val="10"/>
        <rFont val="Arial MT"/>
        <family val="2"/>
      </rPr>
      <t>Administració i Direcció d'Empreses (Barcelona)</t>
    </r>
  </si>
  <si>
    <r>
      <rPr>
        <sz val="10"/>
        <rFont val="Arial MT"/>
        <family val="2"/>
      </rPr>
      <t>UB</t>
    </r>
  </si>
  <si>
    <r>
      <rPr>
        <sz val="10"/>
        <rFont val="Arial MT"/>
        <family val="2"/>
      </rPr>
      <t>Administració i Direcció d'Empreses "IGEMA" (Barcelona)</t>
    </r>
  </si>
  <si>
    <r>
      <rPr>
        <sz val="10"/>
        <rFont val="Arial MT"/>
        <family val="2"/>
      </rPr>
      <t>URV</t>
    </r>
  </si>
  <si>
    <r>
      <rPr>
        <sz val="10"/>
        <rFont val="Arial MT"/>
        <family val="2"/>
      </rPr>
      <t>Administració i Direcció d'Empreses (Cerdanyola del Vallès)</t>
    </r>
  </si>
  <si>
    <r>
      <rPr>
        <sz val="10"/>
        <rFont val="Arial MT"/>
        <family val="2"/>
      </rPr>
      <t>UAB</t>
    </r>
  </si>
  <si>
    <r>
      <rPr>
        <sz val="10"/>
        <rFont val="Arial MT"/>
        <family val="2"/>
      </rPr>
      <t xml:space="preserve">Administració i Direcció d'Empreses (docència en Anglès) (Cerdanyola del
</t>
    </r>
    <r>
      <rPr>
        <sz val="10"/>
        <rFont val="Arial MT"/>
        <family val="2"/>
      </rPr>
      <t>Vallès)</t>
    </r>
  </si>
  <si>
    <r>
      <rPr>
        <sz val="10"/>
        <rFont val="Arial MT"/>
        <family val="2"/>
      </rPr>
      <t>Administració i Direcció d'Empreses (Girona)</t>
    </r>
  </si>
  <si>
    <r>
      <rPr>
        <sz val="10"/>
        <rFont val="Arial MT"/>
        <family val="2"/>
      </rPr>
      <t>UdG</t>
    </r>
  </si>
  <si>
    <r>
      <rPr>
        <sz val="10"/>
        <rFont val="Arial MT"/>
        <family val="2"/>
      </rPr>
      <t>Administració i Direcció d'Empreses (Igualada)</t>
    </r>
  </si>
  <si>
    <r>
      <rPr>
        <sz val="10"/>
        <rFont val="Arial MT"/>
        <family val="2"/>
      </rPr>
      <t>UdL</t>
    </r>
  </si>
  <si>
    <r>
      <rPr>
        <sz val="10"/>
        <rFont val="Arial MT"/>
        <family val="2"/>
      </rPr>
      <t>Administració i Direcció d'Empreses (Lleida)</t>
    </r>
  </si>
  <si>
    <r>
      <rPr>
        <sz val="10"/>
        <rFont val="Arial MT"/>
        <family val="2"/>
      </rPr>
      <t>Administració i Direcció d'Empreses (Campus Manresa) (Manresa)</t>
    </r>
  </si>
  <si>
    <r>
      <rPr>
        <sz val="10"/>
        <rFont val="Arial MT"/>
        <family val="2"/>
      </rPr>
      <t>UVic-UCC</t>
    </r>
  </si>
  <si>
    <r>
      <rPr>
        <sz val="10"/>
        <rFont val="Arial MT"/>
        <family val="2"/>
      </rPr>
      <t>Administració i Direcció d'Empreses (Reus)</t>
    </r>
  </si>
  <si>
    <r>
      <rPr>
        <sz val="10"/>
        <rFont val="Arial MT"/>
        <family val="2"/>
      </rPr>
      <t>Administració i Direcció d'Empreses (Tortosa)</t>
    </r>
  </si>
  <si>
    <r>
      <rPr>
        <sz val="10"/>
        <rFont val="Arial MT"/>
        <family val="2"/>
      </rPr>
      <t>Administració i Direcció d'Empreses (Vic)</t>
    </r>
  </si>
  <si>
    <r>
      <rPr>
        <sz val="10"/>
        <rFont val="Arial MT"/>
        <family val="2"/>
      </rPr>
      <t>Administració i Direcció d'Empreses / Dret (simultaneïtat) (Barcelona)</t>
    </r>
  </si>
  <si>
    <r>
      <rPr>
        <sz val="10"/>
        <rFont val="Arial MT"/>
        <family val="2"/>
      </rPr>
      <t>Administració i Direcció d'Empreses / Dret (simultaneïtat) (Cerdanyola del Vallès)</t>
    </r>
  </si>
  <si>
    <r>
      <rPr>
        <sz val="10"/>
        <rFont val="Arial MT"/>
        <family val="2"/>
      </rPr>
      <t>Administració i Direcció d'Empreses / Dret (simultaneïtat) (Girona)</t>
    </r>
  </si>
  <si>
    <r>
      <rPr>
        <sz val="10"/>
        <rFont val="Arial MT"/>
        <family val="2"/>
      </rPr>
      <t>Administració i Direcció d'Empreses / Dret (simultaneïtat) (Lleida)</t>
    </r>
  </si>
  <si>
    <r>
      <rPr>
        <sz val="10"/>
        <rFont val="Arial MT"/>
        <family val="2"/>
      </rPr>
      <t>Administració i Direcció d'Empreses / Dret (simultaneïtat) (Tarragona / Reus)</t>
    </r>
  </si>
  <si>
    <r>
      <rPr>
        <sz val="10"/>
        <rFont val="Arial MT"/>
        <family val="2"/>
      </rPr>
      <t>Administració i Direcció d'Empreses / Economia (simultaneïtat) (Girona)</t>
    </r>
  </si>
  <si>
    <r>
      <rPr>
        <sz val="10"/>
        <rFont val="Arial MT"/>
        <family val="2"/>
      </rPr>
      <t xml:space="preserve">Administració i Direcció d'Empreses / Enginyeria en Organització Industrial i
</t>
    </r>
    <r>
      <rPr>
        <sz val="10"/>
        <rFont val="Arial MT"/>
        <family val="2"/>
      </rPr>
      <t>Logística (simultaneïtat) (Igualada)</t>
    </r>
  </si>
  <si>
    <r>
      <rPr>
        <sz val="10"/>
        <rFont val="Arial MT"/>
        <family val="2"/>
      </rPr>
      <t xml:space="preserve">Administració i Direcció d'Empreses / Enginyeria en Tecnologies Industrials
</t>
    </r>
    <r>
      <rPr>
        <sz val="10"/>
        <rFont val="Arial MT"/>
        <family val="2"/>
      </rPr>
      <t>(simultaneïtat) (Girona)</t>
    </r>
  </si>
  <si>
    <r>
      <rPr>
        <sz val="10"/>
        <rFont val="Arial MT"/>
        <family val="2"/>
      </rPr>
      <t xml:space="preserve">Administració i Direcció d'Empreses / Enginyeria Informàtica (simultaneïtat)
</t>
    </r>
    <r>
      <rPr>
        <sz val="10"/>
        <rFont val="Arial MT"/>
        <family val="2"/>
      </rPr>
      <t>(Lleida)</t>
    </r>
  </si>
  <si>
    <r>
      <rPr>
        <sz val="10"/>
        <rFont val="Arial MT"/>
        <family val="2"/>
      </rPr>
      <t xml:space="preserve">Administració i Direcció d'Empreses / Finances i Comptabilitat (simultaneïtat)
</t>
    </r>
    <r>
      <rPr>
        <sz val="10"/>
        <rFont val="Arial MT"/>
        <family val="2"/>
      </rPr>
      <t>(Reus)</t>
    </r>
  </si>
  <si>
    <r>
      <rPr>
        <sz val="10"/>
        <rFont val="Arial MT"/>
        <family val="2"/>
      </rPr>
      <t xml:space="preserve">Administració i Direcció d'Empreses / Màrqueting "ESIC" (simultaneïtat) (Reus /
</t>
    </r>
    <r>
      <rPr>
        <sz val="10"/>
        <rFont val="Arial MT"/>
        <family val="2"/>
      </rPr>
      <t>Barcelona)</t>
    </r>
  </si>
  <si>
    <r>
      <rPr>
        <sz val="10"/>
        <rFont val="Arial MT"/>
        <family val="2"/>
      </rPr>
      <t xml:space="preserve">Administració i Direcció d'Empreses / Màrqueting "ESIC" (simultaneïtat) (Tortosa
</t>
    </r>
    <r>
      <rPr>
        <sz val="10"/>
        <rFont val="Arial MT"/>
        <family val="2"/>
      </rPr>
      <t>/ Barcelona)</t>
    </r>
  </si>
  <si>
    <r>
      <rPr>
        <sz val="10"/>
        <rFont val="Arial MT"/>
        <family val="2"/>
      </rPr>
      <t>Administració i Direcció d'Empreses / Matemàtiques (simultaneïtat) (Barcelona)</t>
    </r>
  </si>
  <si>
    <r>
      <rPr>
        <sz val="10"/>
        <rFont val="Arial MT"/>
        <family val="2"/>
      </rPr>
      <t>Administració i Direcció d'Empreses / Química (simultaneïtat) (Barcelona)</t>
    </r>
  </si>
  <si>
    <r>
      <rPr>
        <sz val="10"/>
        <rFont val="Arial MT"/>
        <family val="2"/>
      </rPr>
      <t>Administració i Direcció d'Empreses / Sociologia (simultaneïtat) (Barcelona)</t>
    </r>
  </si>
  <si>
    <r>
      <rPr>
        <sz val="10"/>
        <rFont val="Arial MT"/>
        <family val="2"/>
      </rPr>
      <t xml:space="preserve">Administració i Direcció d'Empreses i Transformació de Negocis "Centre
</t>
    </r>
    <r>
      <rPr>
        <sz val="10"/>
        <rFont val="Arial MT"/>
        <family val="2"/>
      </rPr>
      <t>Universitari EAE" (Barcelona)</t>
    </r>
  </si>
  <si>
    <r>
      <rPr>
        <sz val="10"/>
        <rFont val="Arial MT"/>
        <family val="2"/>
      </rPr>
      <t>Administració i Direcció d'Empreses / Turisme (simultaneïtat) (Lleida)</t>
    </r>
  </si>
  <si>
    <r>
      <rPr>
        <sz val="10"/>
        <rFont val="Arial MT"/>
        <family val="2"/>
      </rPr>
      <t>Anglès (Tarragona)</t>
    </r>
  </si>
  <si>
    <r>
      <rPr>
        <sz val="10"/>
        <rFont val="Arial MT"/>
        <family val="2"/>
      </rPr>
      <t>Antropologia i Evolució Humana (virtual o semipresencial) (Tarragona)</t>
    </r>
  </si>
  <si>
    <r>
      <rPr>
        <sz val="10"/>
        <rFont val="Arial MT"/>
        <family val="2"/>
      </rPr>
      <t>URV / UOC</t>
    </r>
  </si>
  <si>
    <r>
      <rPr>
        <sz val="10"/>
        <rFont val="Arial MT"/>
        <family val="2"/>
      </rPr>
      <t>Antropologia Social i Cultural (Barcelona)</t>
    </r>
  </si>
  <si>
    <r>
      <rPr>
        <sz val="10"/>
        <rFont val="Arial MT"/>
        <family val="2"/>
      </rPr>
      <t>Antropologia Social i Cultural (Cerdanyola del Vallès)</t>
    </r>
  </si>
  <si>
    <r>
      <rPr>
        <sz val="10"/>
        <rFont val="Arial MT"/>
        <family val="2"/>
      </rPr>
      <t>Arqueologia (Barcelona)</t>
    </r>
  </si>
  <si>
    <r>
      <rPr>
        <sz val="10"/>
        <rFont val="Arial MT"/>
        <family val="2"/>
      </rPr>
      <t>Arqueologia (Cerdanyola del Vallès)</t>
    </r>
  </si>
  <si>
    <r>
      <rPr>
        <sz val="10"/>
        <rFont val="Arial MT"/>
        <family val="2"/>
      </rPr>
      <t>Arqueologia / Història (simultaneïtat) (Barcelona)</t>
    </r>
  </si>
  <si>
    <r>
      <rPr>
        <sz val="10"/>
        <rFont val="Arial MT"/>
        <family val="2"/>
      </rPr>
      <t>Arquitectura Tècnica i Edificació (Barcelona)</t>
    </r>
  </si>
  <si>
    <r>
      <rPr>
        <sz val="10"/>
        <rFont val="Arial MT"/>
        <family val="2"/>
      </rPr>
      <t>UPC</t>
    </r>
  </si>
  <si>
    <r>
      <rPr>
        <sz val="10"/>
        <rFont val="Arial MT"/>
        <family val="2"/>
      </rPr>
      <t>Arquitectura Tècnica i Edificació (Girona)</t>
    </r>
  </si>
  <si>
    <r>
      <rPr>
        <sz val="10"/>
        <rFont val="Arial MT"/>
        <family val="2"/>
      </rPr>
      <t>Arquitectura Tècnica i Edificació (semipresencial) (Girona)</t>
    </r>
  </si>
  <si>
    <r>
      <rPr>
        <sz val="10"/>
        <rFont val="Arial MT"/>
        <family val="2"/>
      </rPr>
      <t>Arquitectura Tècnica i Edificació (Lleida)</t>
    </r>
  </si>
  <si>
    <r>
      <rPr>
        <sz val="10"/>
        <rFont val="Arial MT"/>
        <family val="2"/>
      </rPr>
      <t>Arquitectura, Estudis d' (Barcelona)</t>
    </r>
  </si>
  <si>
    <r>
      <rPr>
        <sz val="10"/>
        <rFont val="Arial MT"/>
        <family val="2"/>
      </rPr>
      <t>Arquitectura, Estudis d' (Girona)</t>
    </r>
  </si>
  <si>
    <r>
      <rPr>
        <sz val="10"/>
        <rFont val="Arial MT"/>
        <family val="2"/>
      </rPr>
      <t>Arquitectura, Estudis d' (Reus)</t>
    </r>
  </si>
  <si>
    <r>
      <rPr>
        <sz val="10"/>
        <rFont val="Arial MT"/>
        <family val="2"/>
      </rPr>
      <t>Arquitectura, Estudis d' (Sant Cugat del Vallès)</t>
    </r>
  </si>
  <si>
    <r>
      <rPr>
        <sz val="10"/>
        <rFont val="Arial MT"/>
        <family val="2"/>
      </rPr>
      <t>Arts Escèniques "ERAM" (Salt)</t>
    </r>
  </si>
  <si>
    <r>
      <rPr>
        <sz val="10"/>
        <rFont val="Arial MT"/>
        <family val="2"/>
      </rPr>
      <t>Arts i Disseny "Massana" (Barcelona)</t>
    </r>
  </si>
  <si>
    <r>
      <rPr>
        <sz val="10"/>
        <rFont val="Arial MT"/>
        <family val="2"/>
      </rPr>
      <t>Audiologia General (Vic)</t>
    </r>
  </si>
  <si>
    <r>
      <rPr>
        <sz val="10"/>
        <rFont val="Arial MT"/>
        <family val="2"/>
      </rPr>
      <t>Belles Arts (Barcelona)</t>
    </r>
  </si>
  <si>
    <r>
      <rPr>
        <sz val="10"/>
        <rFont val="Arial MT"/>
        <family val="2"/>
      </rPr>
      <t>Belles Arts "BAU" (Barcelona)</t>
    </r>
  </si>
  <si>
    <r>
      <rPr>
        <sz val="10"/>
        <rFont val="Arial MT"/>
        <family val="2"/>
      </rPr>
      <t>Bioinformàtica (docència en Anglès) (Barcelona / Cerdanyola del Vallès)</t>
    </r>
  </si>
  <si>
    <r>
      <rPr>
        <sz val="10"/>
        <rFont val="Arial MT"/>
        <family val="2"/>
      </rPr>
      <t xml:space="preserve">UPC / UB /
</t>
    </r>
    <r>
      <rPr>
        <sz val="10"/>
        <rFont val="Arial MT"/>
        <family val="2"/>
      </rPr>
      <t>UAB / UPF</t>
    </r>
  </si>
  <si>
    <r>
      <rPr>
        <sz val="10"/>
        <rFont val="Arial MT"/>
        <family val="2"/>
      </rPr>
      <t>Biologia (Barcelona)</t>
    </r>
  </si>
  <si>
    <r>
      <rPr>
        <sz val="10"/>
        <rFont val="Arial MT"/>
        <family val="2"/>
      </rPr>
      <t>Biologia (Cerdanyola del Vallès)</t>
    </r>
  </si>
  <si>
    <r>
      <rPr>
        <sz val="10"/>
        <rFont val="Arial MT"/>
        <family val="2"/>
      </rPr>
      <t>Biologia (Girona)</t>
    </r>
  </si>
  <si>
    <r>
      <rPr>
        <sz val="10"/>
        <rFont val="Arial MT"/>
        <family val="2"/>
      </rPr>
      <t>Biologia (Vic)</t>
    </r>
  </si>
  <si>
    <r>
      <rPr>
        <sz val="10"/>
        <rFont val="Arial MT"/>
        <family val="2"/>
      </rPr>
      <t>Biologia / Biotecnologia (simultaneïtat) (Girona)</t>
    </r>
  </si>
  <si>
    <r>
      <rPr>
        <sz val="10"/>
        <rFont val="Arial MT"/>
        <family val="2"/>
      </rPr>
      <t>Biologia / Ciències Ambientals (simultaneïtat) (Girona)</t>
    </r>
  </si>
  <si>
    <r>
      <rPr>
        <sz val="10"/>
        <rFont val="Arial MT"/>
        <family val="2"/>
      </rPr>
      <t>Biologia Ambiental (Cerdanyola del Vallès)</t>
    </r>
  </si>
  <si>
    <r>
      <rPr>
        <sz val="10"/>
        <rFont val="Arial MT"/>
        <family val="2"/>
      </rPr>
      <t>Biomedicina (Vic)</t>
    </r>
  </si>
  <si>
    <r>
      <rPr>
        <sz val="10"/>
        <rFont val="Arial MT"/>
        <family val="2"/>
      </rPr>
      <t>Bioquímica (Barcelona)</t>
    </r>
  </si>
  <si>
    <r>
      <rPr>
        <sz val="10"/>
        <rFont val="Arial MT"/>
        <family val="2"/>
      </rPr>
      <t>Bioquímica (Cerdanyola del Vallès)</t>
    </r>
  </si>
  <si>
    <r>
      <rPr>
        <sz val="10"/>
        <rFont val="Arial MT"/>
        <family val="2"/>
      </rPr>
      <t>Bioquímica i Biologia Molecular (Tarragona)</t>
    </r>
  </si>
  <si>
    <r>
      <rPr>
        <sz val="10"/>
        <rFont val="Arial MT"/>
        <family val="2"/>
      </rPr>
      <t>Bioquímica i Biologia Molecular / Biotecnologia (simultaneïtat) (Tarragona)</t>
    </r>
  </si>
  <si>
    <r>
      <rPr>
        <sz val="10"/>
        <rFont val="Arial MT"/>
        <family val="2"/>
      </rPr>
      <t>Biotecnologia (Barcelona)</t>
    </r>
  </si>
  <si>
    <r>
      <rPr>
        <sz val="10"/>
        <rFont val="Arial MT"/>
        <family val="2"/>
      </rPr>
      <t>Biotecnologia (Cerdanyola del Vallès)</t>
    </r>
  </si>
  <si>
    <r>
      <rPr>
        <sz val="10"/>
        <rFont val="Arial MT"/>
        <family val="2"/>
      </rPr>
      <t>Biotecnologia (Girona)</t>
    </r>
  </si>
  <si>
    <r>
      <rPr>
        <sz val="10"/>
        <rFont val="Arial MT"/>
        <family val="2"/>
      </rPr>
      <t>Biotecnologia (Lleida)</t>
    </r>
  </si>
  <si>
    <r>
      <rPr>
        <sz val="10"/>
        <rFont val="Arial MT"/>
        <family val="2"/>
      </rPr>
      <t>Biotecnologia (Tarragona)</t>
    </r>
  </si>
  <si>
    <r>
      <rPr>
        <sz val="10"/>
        <rFont val="Arial MT"/>
        <family val="2"/>
      </rPr>
      <t>Biotecnologia (Vic)</t>
    </r>
  </si>
  <si>
    <r>
      <rPr>
        <sz val="10"/>
        <rFont val="Arial MT"/>
        <family val="2"/>
      </rPr>
      <t>Biotecnologia / Enginyeria Informàtica (simultaneïtat) (Tarragona)</t>
    </r>
  </si>
  <si>
    <r>
      <rPr>
        <sz val="10"/>
        <rFont val="Arial MT"/>
        <family val="2"/>
      </rPr>
      <t>Ciberseguretat "ENTI" (Barcelona)</t>
    </r>
  </si>
  <si>
    <r>
      <rPr>
        <sz val="10"/>
        <rFont val="Arial MT"/>
        <family val="2"/>
      </rPr>
      <t>Ciència i Enginyeria de Dades (Barcelona)</t>
    </r>
  </si>
  <si>
    <r>
      <rPr>
        <sz val="10"/>
        <rFont val="Arial MT"/>
        <family val="2"/>
      </rPr>
      <t>Ciència i Producció Animal / Veterinària (simultaneïtat) (Lleida)</t>
    </r>
  </si>
  <si>
    <r>
      <rPr>
        <sz val="10"/>
        <rFont val="Arial MT"/>
        <family val="2"/>
      </rPr>
      <t>Ciència i Tecnologia dels Aliments (Cerdanyola del Vallès)</t>
    </r>
  </si>
  <si>
    <r>
      <rPr>
        <sz val="10"/>
        <rFont val="Arial MT"/>
        <family val="2"/>
      </rPr>
      <t>Ciència i Tecnologia dels Aliments (Lleida)</t>
    </r>
  </si>
  <si>
    <r>
      <rPr>
        <sz val="10"/>
        <rFont val="Arial MT"/>
        <family val="2"/>
      </rPr>
      <t>Ciència i Tecnologia dels Aliments (Santa Coloma de Gramenet)</t>
    </r>
  </si>
  <si>
    <r>
      <rPr>
        <sz val="10"/>
        <rFont val="Arial MT"/>
        <family val="2"/>
      </rPr>
      <t>Ciència Política i Gestió Pública (Cerdanyola del Vallès)</t>
    </r>
  </si>
  <si>
    <r>
      <rPr>
        <sz val="10"/>
        <rFont val="Arial MT"/>
        <family val="2"/>
      </rPr>
      <t>Ciència Política i Gestió Pública / Dret (simultaneïtat) (Cerdanyola del Vallès)</t>
    </r>
  </si>
  <si>
    <r>
      <rPr>
        <sz val="10"/>
        <rFont val="Arial MT"/>
        <family val="2"/>
      </rPr>
      <t xml:space="preserve">Ciència Política i Gestió Pública / Sociologia (simultaneïtat) (Cerdanyola del
</t>
    </r>
    <r>
      <rPr>
        <sz val="10"/>
        <rFont val="Arial MT"/>
        <family val="2"/>
      </rPr>
      <t>Vallès)</t>
    </r>
  </si>
  <si>
    <r>
      <rPr>
        <sz val="10"/>
        <rFont val="Arial MT"/>
        <family val="2"/>
      </rPr>
      <t>Ciència, Tecnologia i Humanitats (Cerdanyola del Vallès)</t>
    </r>
  </si>
  <si>
    <r>
      <rPr>
        <sz val="10"/>
        <rFont val="Arial MT"/>
        <family val="2"/>
      </rPr>
      <t>Ciències (Cerdanyola del Vallès)</t>
    </r>
  </si>
  <si>
    <r>
      <rPr>
        <sz val="10"/>
        <rFont val="Arial MT"/>
        <family val="2"/>
      </rPr>
      <t>Ciències Ambientals (Barcelona)</t>
    </r>
  </si>
  <si>
    <r>
      <rPr>
        <sz val="10"/>
        <rFont val="Arial MT"/>
        <family val="2"/>
      </rPr>
      <t>Ciències Ambientals (Cerdanyola del Vallès)</t>
    </r>
  </si>
  <si>
    <r>
      <rPr>
        <sz val="10"/>
        <rFont val="Arial MT"/>
        <family val="2"/>
      </rPr>
      <t>Ciències Ambientals (Girona)</t>
    </r>
  </si>
  <si>
    <r>
      <rPr>
        <sz val="10"/>
        <rFont val="Arial MT"/>
        <family val="2"/>
      </rPr>
      <t>Ciències Ambientals / Geologia (simultaneïtat) (Cerdanyola del Vallès)</t>
    </r>
  </si>
  <si>
    <r>
      <rPr>
        <sz val="10"/>
        <rFont val="Arial MT"/>
        <family val="2"/>
      </rPr>
      <t>Ciències Biomèdiques (Barcelona)</t>
    </r>
  </si>
  <si>
    <r>
      <rPr>
        <sz val="10"/>
        <rFont val="Arial MT"/>
        <family val="2"/>
      </rPr>
      <t>Ciències Biomèdiques (Barcelona / L'Hospitalet de Llobregat)</t>
    </r>
  </si>
  <si>
    <r>
      <rPr>
        <sz val="10"/>
        <rFont val="Arial MT"/>
        <family val="2"/>
      </rPr>
      <t>Ciències Biomèdiques (Cerdanyola del Vallès)</t>
    </r>
  </si>
  <si>
    <r>
      <rPr>
        <sz val="10"/>
        <rFont val="Arial MT"/>
        <family val="2"/>
      </rPr>
      <t>Ciències Biomèdiques (Lleida)</t>
    </r>
  </si>
  <si>
    <r>
      <rPr>
        <sz val="10"/>
        <rFont val="Arial MT"/>
        <family val="2"/>
      </rPr>
      <t>Ciències Culinàries i Gastronòmiques "CETT" (Barcelona)</t>
    </r>
  </si>
  <si>
    <r>
      <rPr>
        <sz val="10"/>
        <rFont val="Arial MT"/>
        <family val="2"/>
      </rPr>
      <t>Ciències de l'Activitat Física i de l'Esport "EUSES" (Amposta)</t>
    </r>
  </si>
  <si>
    <r>
      <rPr>
        <sz val="10"/>
        <rFont val="Arial MT"/>
        <family val="2"/>
      </rPr>
      <t>Ciències de l'Activitat Física i de l'Esport (Barcelona)</t>
    </r>
  </si>
  <si>
    <r>
      <rPr>
        <sz val="10"/>
        <rFont val="Arial MT"/>
        <family val="2"/>
      </rPr>
      <t>Ciències de l'Activitat Física i de l'Esport (La Seu d'Urgell)</t>
    </r>
  </si>
  <si>
    <r>
      <rPr>
        <sz val="10"/>
        <rFont val="Arial MT"/>
        <family val="2"/>
      </rPr>
      <t>Ciències de l'Activitat Física i de l'Esport (Lleida)</t>
    </r>
  </si>
  <si>
    <r>
      <rPr>
        <sz val="10"/>
        <rFont val="Arial MT"/>
        <family val="2"/>
      </rPr>
      <t>Ciències de l'Activitat Física i de l'Esport "Tecnocampus" (Mataró)</t>
    </r>
  </si>
  <si>
    <r>
      <rPr>
        <sz val="10"/>
        <rFont val="Arial MT"/>
        <family val="2"/>
      </rPr>
      <t>Ciències de l'Activitat Física i de l'Esport "EUSES" (Salt)</t>
    </r>
  </si>
  <si>
    <r>
      <rPr>
        <sz val="10"/>
        <rFont val="Arial MT"/>
        <family val="2"/>
      </rPr>
      <t>Ciències de l'Activitat Física i de l'Esport (Vic)</t>
    </r>
  </si>
  <si>
    <r>
      <rPr>
        <sz val="10"/>
        <rFont val="Arial MT"/>
        <family val="2"/>
      </rPr>
      <t xml:space="preserve">Ciències de l'Activitat Física i de l'Esport / Educació Primària (simultaneïtat)
</t>
    </r>
    <r>
      <rPr>
        <sz val="10"/>
        <rFont val="Arial MT"/>
        <family val="2"/>
      </rPr>
      <t>(Lleida)</t>
    </r>
  </si>
  <si>
    <r>
      <rPr>
        <sz val="10"/>
        <rFont val="Arial MT"/>
        <family val="2"/>
      </rPr>
      <t xml:space="preserve">Ciències de l'Activitat Física i de l'Esport / Educació Primària (menció en
</t>
    </r>
    <r>
      <rPr>
        <sz val="10"/>
        <rFont val="Arial MT"/>
        <family val="2"/>
      </rPr>
      <t>Educació Física) (simultaneïtat) (Vic)</t>
    </r>
  </si>
  <si>
    <r>
      <rPr>
        <sz val="10"/>
        <rFont val="Arial MT"/>
        <family val="2"/>
      </rPr>
      <t>Ciències de l'Activitat Física i de l'Esport / Fisioteràpia (simultaneïtat) (Lleida)</t>
    </r>
  </si>
  <si>
    <r>
      <rPr>
        <sz val="10"/>
        <rFont val="Arial MT"/>
        <family val="2"/>
      </rPr>
      <t xml:space="preserve">Ciències de l'Activitat Física i de l'Esport / Fisioteràpia "Tecnocampus"
</t>
    </r>
    <r>
      <rPr>
        <sz val="10"/>
        <rFont val="Arial MT"/>
        <family val="2"/>
      </rPr>
      <t>(simultaneïtat) (Mataró)</t>
    </r>
  </si>
  <si>
    <r>
      <rPr>
        <sz val="10"/>
        <rFont val="Arial MT"/>
        <family val="2"/>
      </rPr>
      <t xml:space="preserve">Ciències de l'Activitat Física i de l'Esport / Fisioteràpia "EUSES" (simultaneïtat)
</t>
    </r>
    <r>
      <rPr>
        <sz val="10"/>
        <rFont val="Arial MT"/>
        <family val="2"/>
      </rPr>
      <t>(Salt)</t>
    </r>
  </si>
  <si>
    <r>
      <rPr>
        <sz val="10"/>
        <rFont val="Arial MT"/>
        <family val="2"/>
      </rPr>
      <t xml:space="preserve">Ciències de l'Activitat Física i de l'Esport / Fisioteràpia "EUSES" (simultaneïtat)
</t>
    </r>
    <r>
      <rPr>
        <sz val="10"/>
        <rFont val="Arial MT"/>
        <family val="2"/>
      </rPr>
      <t>(Amposta / Tortosa)</t>
    </r>
  </si>
  <si>
    <r>
      <rPr>
        <sz val="10"/>
        <rFont val="Arial MT"/>
        <family val="2"/>
      </rPr>
      <t>Ciències de l'Antiguitat (Cerdanyola del Vallès)</t>
    </r>
  </si>
  <si>
    <r>
      <rPr>
        <sz val="10"/>
        <rFont val="Arial MT"/>
        <family val="2"/>
      </rPr>
      <t>Ciències del Mar (Barcelona)</t>
    </r>
  </si>
  <si>
    <r>
      <rPr>
        <sz val="10"/>
        <rFont val="Arial MT"/>
        <family val="2"/>
      </rPr>
      <t>Ciències Empresarials - Management (Barcelona)</t>
    </r>
  </si>
  <si>
    <r>
      <rPr>
        <sz val="10"/>
        <rFont val="Arial MT"/>
        <family val="2"/>
      </rPr>
      <t>Ciències i Tecnologies del Mar (Castelldefels / Barcelona / Vilanova i la Geltrú)</t>
    </r>
  </si>
  <si>
    <r>
      <rPr>
        <sz val="10"/>
        <rFont val="Arial MT"/>
        <family val="2"/>
      </rPr>
      <t>Ciències Polítiques i de l'Administració (Barcelona)</t>
    </r>
  </si>
  <si>
    <r>
      <rPr>
        <sz val="10"/>
        <rFont val="Arial MT"/>
        <family val="2"/>
      </rPr>
      <t>Ciències Polítiques i de l'Administració (Girona)</t>
    </r>
  </si>
  <si>
    <r>
      <rPr>
        <sz val="10"/>
        <rFont val="Arial MT"/>
        <family val="2"/>
      </rPr>
      <t>Ciències Polítiques i de l'Administració / Dret (simultaneïtat) (Barcelona)</t>
    </r>
  </si>
  <si>
    <r>
      <rPr>
        <sz val="10"/>
        <rFont val="Arial MT"/>
        <family val="2"/>
      </rPr>
      <t>Ciències Polítiques i de l'Administració / Dret (simultaneïtat) (Girona)</t>
    </r>
  </si>
  <si>
    <r>
      <rPr>
        <sz val="10"/>
        <rFont val="Arial MT"/>
        <family val="2"/>
      </rPr>
      <t>Cinematografia "ESCAC" (Terrassa)</t>
    </r>
  </si>
  <si>
    <r>
      <rPr>
        <sz val="10"/>
        <rFont val="Arial MT"/>
        <family val="2"/>
      </rPr>
      <t>Comptabilitat i Finances (Girona)</t>
    </r>
  </si>
  <si>
    <r>
      <rPr>
        <sz val="10"/>
        <rFont val="Arial MT"/>
        <family val="2"/>
      </rPr>
      <t>Comptabilitat i Finances (Sabadell)</t>
    </r>
  </si>
  <si>
    <r>
      <rPr>
        <sz val="10"/>
        <rFont val="Arial MT"/>
        <family val="2"/>
      </rPr>
      <t>Comunicació Audiovisual (Barcelona)</t>
    </r>
  </si>
  <si>
    <r>
      <rPr>
        <sz val="10"/>
        <rFont val="Arial MT"/>
        <family val="2"/>
      </rPr>
      <t>Comunicació Audiovisual (Cerdanyola del Vallès)</t>
    </r>
  </si>
  <si>
    <r>
      <rPr>
        <sz val="10"/>
        <rFont val="Arial MT"/>
        <family val="2"/>
      </rPr>
      <t>Comunicació Audiovisual (Tarragona)</t>
    </r>
  </si>
  <si>
    <r>
      <rPr>
        <sz val="10"/>
        <rFont val="Arial MT"/>
        <family val="2"/>
      </rPr>
      <t>Comunicació Audiovisual (Vic)</t>
    </r>
  </si>
  <si>
    <r>
      <rPr>
        <sz val="10"/>
        <rFont val="Arial MT"/>
        <family val="2"/>
      </rPr>
      <t xml:space="preserve">Comunicació Audiovisual / Gestió d'Informació i Documentació Digital
</t>
    </r>
    <r>
      <rPr>
        <sz val="10"/>
        <rFont val="Arial MT"/>
        <family val="2"/>
      </rPr>
      <t>(simultaneïtat) (Barcelona)</t>
    </r>
  </si>
  <si>
    <r>
      <rPr>
        <sz val="10"/>
        <rFont val="Arial MT"/>
        <family val="2"/>
      </rPr>
      <t>Comunicació Audiovisual i Multimèdia "ERAM" (Salt)</t>
    </r>
  </si>
  <si>
    <r>
      <rPr>
        <sz val="10"/>
        <rFont val="Arial MT"/>
        <family val="2"/>
      </rPr>
      <t>Comunicació Audiovisual i Multimèdia "ERAM" (docència en Anglès) (Salt)</t>
    </r>
  </si>
  <si>
    <r>
      <rPr>
        <sz val="10"/>
        <rFont val="Arial MT"/>
        <family val="2"/>
      </rPr>
      <t>Comunicació Cultural (Girona)</t>
    </r>
  </si>
  <si>
    <r>
      <rPr>
        <sz val="10"/>
        <rFont val="Arial MT"/>
        <family val="2"/>
      </rPr>
      <t>Comunicació de les Organitzacions (Cerdanyola del Vallès)</t>
    </r>
  </si>
  <si>
    <r>
      <rPr>
        <sz val="10"/>
        <rFont val="Arial MT"/>
        <family val="2"/>
      </rPr>
      <t>Comunicació i Indústries Culturals (Barcelona)</t>
    </r>
  </si>
  <si>
    <r>
      <rPr>
        <sz val="10"/>
        <rFont val="Arial MT"/>
        <family val="2"/>
      </rPr>
      <t>Comunicació i Periodisme Audiovisuals (Lleida)</t>
    </r>
  </si>
  <si>
    <r>
      <rPr>
        <sz val="10"/>
        <rFont val="Arial MT"/>
        <family val="2"/>
      </rPr>
      <t>Comunicació Interactiva (Cerdanyola del Vallès)</t>
    </r>
  </si>
  <si>
    <r>
      <rPr>
        <sz val="10"/>
        <rFont val="Arial MT"/>
        <family val="2"/>
      </rPr>
      <t>Conservació - Restauració de Béns Culturals (Barcelona)</t>
    </r>
  </si>
  <si>
    <r>
      <rPr>
        <sz val="10"/>
        <rFont val="Arial MT"/>
        <family val="2"/>
      </rPr>
      <t>Conservació de la Natura / Enginyeria Forestal (simultaneïtat) (Lleida)</t>
    </r>
  </si>
  <si>
    <r>
      <rPr>
        <sz val="10"/>
        <rFont val="Arial MT"/>
        <family val="2"/>
      </rPr>
      <t>Criminologia (Barcelona)</t>
    </r>
  </si>
  <si>
    <r>
      <rPr>
        <sz val="10"/>
        <rFont val="Arial MT"/>
        <family val="2"/>
      </rPr>
      <t>Criminologia "ESERP" (Barcelona)</t>
    </r>
  </si>
  <si>
    <r>
      <rPr>
        <sz val="10"/>
        <rFont val="Arial MT"/>
        <family val="2"/>
      </rPr>
      <t>Criminologia (Cerdanyola del Vallès)</t>
    </r>
  </si>
  <si>
    <r>
      <rPr>
        <sz val="10"/>
        <rFont val="Arial MT"/>
        <family val="2"/>
      </rPr>
      <t>Criminologia (Girona)</t>
    </r>
  </si>
  <si>
    <r>
      <rPr>
        <sz val="10"/>
        <rFont val="Arial MT"/>
        <family val="2"/>
      </rPr>
      <t>Criminologia / Dret (simultaneïtat) (Cerdanyola del Vallès)</t>
    </r>
  </si>
  <si>
    <r>
      <rPr>
        <sz val="10"/>
        <rFont val="Arial MT"/>
        <family val="2"/>
      </rPr>
      <t>Criminologia / Dret (simultaneïtat) (Girona)</t>
    </r>
  </si>
  <si>
    <r>
      <rPr>
        <sz val="10"/>
        <rFont val="Arial MT"/>
        <family val="2"/>
      </rPr>
      <t>Criminologia i Polítiques Públiques de Prevenció (Barcelona)</t>
    </r>
  </si>
  <si>
    <r>
      <rPr>
        <sz val="10"/>
        <rFont val="Arial MT"/>
        <family val="2"/>
      </rPr>
      <t xml:space="preserve">Criminologia i Polítiques Públiques de Prevenció / Dret (simultaneïtat)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</si>
  <si>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Direcció d'Empreses Hoteleres i Gastronòmiques (Sant Pol de Mar)</t>
    </r>
  </si>
  <si>
    <r>
      <rPr>
        <sz val="10"/>
        <rFont val="Arial MT"/>
        <family val="2"/>
      </rPr>
      <t>Direcció Hotelera (Cerdanyola del Vallès)</t>
    </r>
  </si>
  <si>
    <r>
      <rPr>
        <sz val="10"/>
        <rFont val="Arial MT"/>
        <family val="2"/>
      </rPr>
      <t>Direcció Hotelera Internacional "CETT" (Barcelona)</t>
    </r>
  </si>
  <si>
    <r>
      <rPr>
        <sz val="10"/>
        <rFont val="Arial MT"/>
        <family val="2"/>
      </rPr>
      <t>Direcció i Gestió d'Empreses en l'Àmbit Digital "ESIC" (Barcelona)</t>
    </r>
  </si>
  <si>
    <r>
      <rPr>
        <sz val="10"/>
        <rFont val="Arial MT"/>
        <family val="2"/>
      </rPr>
      <t xml:space="preserve">Direcció i Gestió Gastronòmica "Barcelona Culinary Hub" (L'Hospitalet de
</t>
    </r>
    <r>
      <rPr>
        <sz val="10"/>
        <rFont val="Arial MT"/>
        <family val="2"/>
      </rPr>
      <t>Llobregat)</t>
    </r>
  </si>
  <si>
    <r>
      <rPr>
        <sz val="10"/>
        <rFont val="Arial MT"/>
        <family val="2"/>
      </rPr>
      <t>Disseny (Barcelona)</t>
    </r>
  </si>
  <si>
    <r>
      <rPr>
        <sz val="10"/>
        <rFont val="Arial MT"/>
        <family val="2"/>
      </rPr>
      <t>Disseny "BAU" (Barcelona)</t>
    </r>
  </si>
  <si>
    <r>
      <rPr>
        <sz val="10"/>
        <rFont val="Arial MT"/>
        <family val="2"/>
      </rPr>
      <t>Disseny "Eina" (Barcelona)</t>
    </r>
  </si>
  <si>
    <r>
      <rPr>
        <sz val="10"/>
        <rFont val="Arial MT"/>
        <family val="2"/>
      </rPr>
      <t>Disseny Digital i Tecnologies Creatives (Lleida)</t>
    </r>
  </si>
  <si>
    <r>
      <rPr>
        <sz val="10"/>
        <rFont val="Arial MT"/>
        <family val="2"/>
      </rPr>
      <t>Disseny Digital i Tecnologies Multimèdia (Terrassa)</t>
    </r>
  </si>
  <si>
    <r>
      <rPr>
        <sz val="10"/>
        <rFont val="Arial MT"/>
        <family val="2"/>
      </rPr>
      <t xml:space="preserve">Disseny i Desenvolupament de Videojocs (docència en Anglès) (Campus
</t>
    </r>
    <r>
      <rPr>
        <sz val="10"/>
        <rFont val="Arial MT"/>
        <family val="2"/>
      </rPr>
      <t>Barcelona) (Barcelona / Terrassa)</t>
    </r>
  </si>
  <si>
    <r>
      <rPr>
        <sz val="10"/>
        <rFont val="Arial MT"/>
        <family val="2"/>
      </rPr>
      <t>Disseny i Desenvolupament de Videojocs (Girona)</t>
    </r>
  </si>
  <si>
    <r>
      <rPr>
        <sz val="10"/>
        <rFont val="Arial MT"/>
        <family val="2"/>
      </rPr>
      <t xml:space="preserve">Disseny i Desenvolupament de Videojocs (Campus Terrassa) (Barcelona /
</t>
    </r>
    <r>
      <rPr>
        <sz val="10"/>
        <rFont val="Arial MT"/>
        <family val="2"/>
      </rPr>
      <t>Terrassa)</t>
    </r>
  </si>
  <si>
    <r>
      <rPr>
        <sz val="10"/>
        <rFont val="Arial MT"/>
        <family val="2"/>
      </rPr>
      <t>Disseny i Desenvolupament de Videojocs i Jocs Aplicats "ENTI" (Barcelona)</t>
    </r>
  </si>
  <si>
    <r>
      <rPr>
        <sz val="10"/>
        <rFont val="Arial MT"/>
        <family val="2"/>
      </rPr>
      <t>Disseny i Innovació "ELISAVA" (Barcelona)</t>
    </r>
  </si>
  <si>
    <r>
      <rPr>
        <sz val="10"/>
        <rFont val="Arial MT"/>
        <family val="2"/>
      </rPr>
      <t>Disseny i Producció de Videojocs "Tecnocampus" (Mataró)</t>
    </r>
  </si>
  <si>
    <r>
      <rPr>
        <sz val="10"/>
        <rFont val="Arial MT"/>
        <family val="2"/>
      </rPr>
      <t xml:space="preserve">Disseny i Producció de Videojocs / Enginyeria Informàtica de Gestió i Sistemes
</t>
    </r>
    <r>
      <rPr>
        <sz val="10"/>
        <rFont val="Arial MT"/>
        <family val="2"/>
      </rPr>
      <t>d'Informació "Tecnocampus" (simultaneïtat) (Mataró)</t>
    </r>
  </si>
  <si>
    <r>
      <rPr>
        <sz val="10"/>
        <rFont val="Arial MT"/>
        <family val="2"/>
      </rPr>
      <t>Disseny per als Sistemes Alimentaris "ELISAVA-CETT" (Barcelona)</t>
    </r>
  </si>
  <si>
    <r>
      <rPr>
        <sz val="10"/>
        <rFont val="Arial MT"/>
        <family val="2"/>
      </rPr>
      <t xml:space="preserve">UVic-UCC /
</t>
    </r>
    <r>
      <rPr>
        <sz val="10"/>
        <rFont val="Arial MT"/>
        <family val="2"/>
      </rPr>
      <t>UB</t>
    </r>
  </si>
  <si>
    <r>
      <rPr>
        <sz val="10"/>
        <rFont val="Arial MT"/>
        <family val="2"/>
      </rPr>
      <t>Disseny, Animació i Art Digital (Terrassa)</t>
    </r>
  </si>
  <si>
    <r>
      <rPr>
        <sz val="10"/>
        <rFont val="Arial MT"/>
        <family val="2"/>
      </rPr>
      <t>Disseny, Animació i Art Digital per a Videojocs i Jocs Aplicats "ENTI" (Barcelona)</t>
    </r>
  </si>
  <si>
    <r>
      <rPr>
        <sz val="10"/>
        <rFont val="Arial MT"/>
        <family val="2"/>
      </rPr>
      <t>Dret (Barcelona)</t>
    </r>
  </si>
  <si>
    <r>
      <rPr>
        <sz val="10"/>
        <rFont val="Arial MT"/>
        <family val="2"/>
      </rPr>
      <t>Dret "ESERP" (Barcelona)</t>
    </r>
  </si>
  <si>
    <r>
      <rPr>
        <sz val="10"/>
        <rFont val="Arial MT"/>
        <family val="2"/>
      </rPr>
      <t>Dret (Cerdanyola del Vallès)</t>
    </r>
  </si>
  <si>
    <r>
      <rPr>
        <sz val="10"/>
        <rFont val="Arial MT"/>
        <family val="2"/>
      </rPr>
      <t>Dret (Girona)</t>
    </r>
  </si>
  <si>
    <r>
      <rPr>
        <sz val="10"/>
        <rFont val="Arial MT"/>
        <family val="2"/>
      </rPr>
      <t>Dret (Lleida)</t>
    </r>
  </si>
  <si>
    <r>
      <rPr>
        <sz val="10"/>
        <rFont val="Arial MT"/>
        <family val="2"/>
      </rPr>
      <t>Dret (Tarragona)</t>
    </r>
  </si>
  <si>
    <r>
      <rPr>
        <sz val="10"/>
        <rFont val="Arial MT"/>
        <family val="2"/>
      </rPr>
      <t xml:space="preserve">Dret / Administració i Direcció d'Empreses - Economia (agrupació de
</t>
    </r>
    <r>
      <rPr>
        <sz val="10"/>
        <rFont val="Arial MT"/>
        <family val="2"/>
      </rPr>
      <t>simultaneïtat) (Barcelona)</t>
    </r>
  </si>
  <si>
    <r>
      <rPr>
        <sz val="10"/>
        <rFont val="Arial MT"/>
        <family val="2"/>
      </rPr>
      <t>Dret / Relacions Internacionals (simultaneïtat) (Cerdanyola del Vallès)</t>
    </r>
  </si>
  <si>
    <r>
      <rPr>
        <sz val="10"/>
        <rFont val="Arial MT"/>
        <family val="2"/>
      </rPr>
      <t>Dret / Relacions Laborals (simultaneïtat) (Cerdanyola del Vallès)</t>
    </r>
  </si>
  <si>
    <r>
      <rPr>
        <sz val="10"/>
        <rFont val="Arial MT"/>
        <family val="2"/>
      </rPr>
      <t>Dret / Relacions Laborals i Recursos Humans (simultaneïtat) (Tarragona)</t>
    </r>
  </si>
  <si>
    <r>
      <rPr>
        <sz val="10"/>
        <rFont val="Arial MT"/>
        <family val="2"/>
      </rPr>
      <t>Economia (Barcelona)</t>
    </r>
  </si>
  <si>
    <r>
      <rPr>
        <sz val="10"/>
        <rFont val="Arial MT"/>
        <family val="2"/>
      </rPr>
      <t>Economia (Cerdanyola del Vallès)</t>
    </r>
  </si>
  <si>
    <r>
      <rPr>
        <sz val="10"/>
        <rFont val="Arial MT"/>
        <family val="2"/>
      </rPr>
      <t>Economia (docència en Anglès) (Cerdanyola del Vallès)</t>
    </r>
  </si>
  <si>
    <r>
      <rPr>
        <sz val="10"/>
        <rFont val="Arial MT"/>
        <family val="2"/>
      </rPr>
      <t>Economia (Girona)</t>
    </r>
  </si>
  <si>
    <r>
      <rPr>
        <sz val="10"/>
        <rFont val="Arial MT"/>
        <family val="2"/>
      </rPr>
      <t>Economia (Reus)</t>
    </r>
  </si>
  <si>
    <r>
      <rPr>
        <sz val="10"/>
        <rFont val="Arial MT"/>
        <family val="2"/>
      </rPr>
      <t>Economia / Estadística (simultaneïtat) (Barcelona)</t>
    </r>
  </si>
  <si>
    <r>
      <rPr>
        <sz val="10"/>
        <rFont val="Arial MT"/>
        <family val="2"/>
      </rPr>
      <t>UB / UPC</t>
    </r>
  </si>
  <si>
    <r>
      <rPr>
        <sz val="10"/>
        <rFont val="Arial MT"/>
        <family val="2"/>
      </rPr>
      <t>Economia / Filosofia (simultaneïtat) (Girona)</t>
    </r>
  </si>
  <si>
    <r>
      <rPr>
        <sz val="10"/>
        <rFont val="Arial MT"/>
        <family val="2"/>
      </rPr>
      <t xml:space="preserve">Economia / Matemàtica Computacional i Analítica de Dades (simultaneïtat)
</t>
    </r>
    <r>
      <rPr>
        <sz val="10"/>
        <rFont val="Arial MT"/>
        <family val="2"/>
      </rPr>
      <t>(Cerdanyola del Vallès)</t>
    </r>
  </si>
  <si>
    <r>
      <rPr>
        <sz val="10"/>
        <rFont val="Arial MT"/>
        <family val="2"/>
      </rPr>
      <t>Educació Infantil (Barcelona)</t>
    </r>
  </si>
  <si>
    <r>
      <rPr>
        <sz val="10"/>
        <rFont val="Arial MT"/>
        <family val="2"/>
      </rPr>
      <t>Educació Infantil (Cerdanyola del Vallès)</t>
    </r>
  </si>
  <si>
    <r>
      <rPr>
        <sz val="10"/>
        <rFont val="Arial MT"/>
        <family val="2"/>
      </rPr>
      <t>Educació Infantil (el Vendrell)</t>
    </r>
  </si>
  <si>
    <r>
      <rPr>
        <sz val="10"/>
        <rFont val="Arial MT"/>
        <family val="2"/>
      </rPr>
      <t>Educació Infantil (Girona)</t>
    </r>
  </si>
  <si>
    <r>
      <rPr>
        <sz val="10"/>
        <rFont val="Arial MT"/>
        <family val="2"/>
      </rPr>
      <t>Educació Infantil (Lleida)</t>
    </r>
  </si>
  <si>
    <r>
      <rPr>
        <sz val="10"/>
        <rFont val="Arial MT"/>
        <family val="2"/>
      </rPr>
      <t>Educació Infantil (Campus Manresa) (Manresa)</t>
    </r>
  </si>
  <si>
    <r>
      <rPr>
        <sz val="10"/>
        <rFont val="Arial MT"/>
        <family val="2"/>
      </rPr>
      <t>Educació Infantil (Tarragona)</t>
    </r>
  </si>
  <si>
    <r>
      <rPr>
        <sz val="10"/>
        <rFont val="Arial MT"/>
        <family val="2"/>
      </rPr>
      <t>Educació Infantil (Tortosa)</t>
    </r>
  </si>
  <si>
    <r>
      <rPr>
        <sz val="10"/>
        <rFont val="Arial MT"/>
        <family val="2"/>
      </rPr>
      <t>Educació Infantil (Vic)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</si>
  <si>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(Barcelona)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</si>
  <si>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(Cerdanyola del Vallès)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</si>
  <si>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(Girona)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</si>
  <si>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(Lleida)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</si>
  <si>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(Tarragona)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</si>
  <si>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(simultaneïtat) (Tortosa)</t>
    </r>
  </si>
  <si>
    <r>
      <rPr>
        <sz val="10"/>
        <rFont val="Arial MT"/>
        <family val="2"/>
      </rPr>
      <t xml:space="preserve">Educació Infantil / Educació Primària (pla de millora de la formació inicial de
</t>
    </r>
    <r>
      <rPr>
        <sz val="10"/>
        <rFont val="Arial MT"/>
        <family val="2"/>
      </rPr>
      <t>Mestre - 5 anys) (menció en Llengua Anglesa) (simultaneïtat) (Vic)</t>
    </r>
  </si>
  <si>
    <r>
      <rPr>
        <sz val="10"/>
        <rFont val="Arial MT"/>
        <family val="2"/>
      </rPr>
      <t>Educació Primària (Barcelona)</t>
    </r>
  </si>
  <si>
    <r>
      <rPr>
        <sz val="10"/>
        <rFont val="Arial MT"/>
        <family val="2"/>
      </rPr>
      <t>Educació Primària (Cerdanyola del Vallès)</t>
    </r>
  </si>
  <si>
    <r>
      <rPr>
        <sz val="10"/>
        <rFont val="Arial MT"/>
        <family val="2"/>
      </rPr>
      <t>Educació Primària (docència en Anglès) (Cerdanyola del Vallès)</t>
    </r>
  </si>
  <si>
    <r>
      <rPr>
        <sz val="10"/>
        <rFont val="Arial MT"/>
        <family val="2"/>
      </rPr>
      <t>Educació Primària (Girona)</t>
    </r>
  </si>
  <si>
    <r>
      <rPr>
        <sz val="10"/>
        <rFont val="Arial MT"/>
        <family val="2"/>
      </rPr>
      <t>Educació Primària (modalitat Bilingüe) (Lleida)</t>
    </r>
  </si>
  <si>
    <r>
      <rPr>
        <sz val="10"/>
        <rFont val="Arial MT"/>
        <family val="2"/>
      </rPr>
      <t>Educació Primària (modalitat dual) (Lleida)</t>
    </r>
  </si>
  <si>
    <r>
      <rPr>
        <sz val="10"/>
        <rFont val="Arial MT"/>
        <family val="2"/>
      </rPr>
      <t>Educació Primària (Tarragona)</t>
    </r>
  </si>
  <si>
    <r>
      <rPr>
        <sz val="10"/>
        <rFont val="Arial MT"/>
        <family val="2"/>
      </rPr>
      <t>Educació Primària (Tortosa)</t>
    </r>
  </si>
  <si>
    <r>
      <rPr>
        <sz val="10"/>
        <rFont val="Arial MT"/>
        <family val="2"/>
      </rPr>
      <t>Educació Primària (Vic)</t>
    </r>
  </si>
  <si>
    <r>
      <rPr>
        <sz val="10"/>
        <rFont val="Arial MT"/>
        <family val="2"/>
      </rPr>
      <t>Educació Social (Barcelona)</t>
    </r>
  </si>
  <si>
    <r>
      <rPr>
        <sz val="10"/>
        <rFont val="Arial MT"/>
        <family val="2"/>
      </rPr>
      <t>Educació Social (Cerdanyola del Vallès)</t>
    </r>
  </si>
  <si>
    <r>
      <rPr>
        <sz val="10"/>
        <rFont val="Arial MT"/>
        <family val="2"/>
      </rPr>
      <t>Educació Social (Girona)</t>
    </r>
  </si>
  <si>
    <r>
      <rPr>
        <sz val="10"/>
        <rFont val="Arial MT"/>
        <family val="2"/>
      </rPr>
      <t>Educació Social (Lleida)</t>
    </r>
  </si>
  <si>
    <r>
      <rPr>
        <sz val="10"/>
        <rFont val="Arial MT"/>
        <family val="2"/>
      </rPr>
      <t>Educació Social (Tarragona)</t>
    </r>
  </si>
  <si>
    <r>
      <rPr>
        <sz val="10"/>
        <rFont val="Arial MT"/>
        <family val="2"/>
      </rPr>
      <t>Educació Social (Vic)</t>
    </r>
  </si>
  <si>
    <r>
      <rPr>
        <sz val="10"/>
        <rFont val="Arial MT"/>
        <family val="2"/>
      </rPr>
      <t>Empresa i Tecnologia (Sabadell)</t>
    </r>
  </si>
  <si>
    <r>
      <rPr>
        <sz val="10"/>
        <rFont val="Arial MT"/>
        <family val="2"/>
      </rPr>
      <t xml:space="preserve">Empresa, Innovació i Tecnologia "EUNCET" (Campus 22@) (presencial)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</si>
  <si>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Empresa, Innovació i Tecnologia "EUNCET" (Campus 22@) (semipresencial)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</si>
  <si>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Empresa, Innovació i Tecnologia "EUNCET" (Campus Terrassa) (presencial)
</t>
    </r>
    <r>
      <rPr>
        <sz val="10"/>
        <rFont val="Arial MT"/>
        <family val="2"/>
      </rPr>
      <t>(Terrassa)</t>
    </r>
  </si>
  <si>
    <r>
      <rPr>
        <sz val="10"/>
        <rFont val="Arial MT"/>
        <family val="2"/>
      </rPr>
      <t xml:space="preserve">Empresa, Innovació i Tecnologia "EUNCET" (Campus Terrassa)
</t>
    </r>
    <r>
      <rPr>
        <sz val="10"/>
        <rFont val="Arial MT"/>
        <family val="2"/>
      </rPr>
      <t>(semipresencial) (Terrassa)</t>
    </r>
  </si>
  <si>
    <r>
      <rPr>
        <sz val="10"/>
        <rFont val="Arial MT"/>
        <family val="2"/>
      </rPr>
      <t xml:space="preserve">Empresa, Innovació i Tecnologia / Gestió i Digitalització en l'Esport "EUNCET"
</t>
    </r>
    <r>
      <rPr>
        <sz val="10"/>
        <rFont val="Arial MT"/>
        <family val="2"/>
      </rPr>
      <t>(Campus Can Dragó + Campus 22@) (presencial) (simultaneïtat) (Barcelona)</t>
    </r>
  </si>
  <si>
    <r>
      <rPr>
        <sz val="10"/>
        <rFont val="Arial MT"/>
        <family val="2"/>
      </rPr>
      <t xml:space="preserve">Empresa, Innovació i Tecnologia / Màrqueting, Innovació i Tecnologia "EUNCET"
</t>
    </r>
    <r>
      <rPr>
        <sz val="10"/>
        <rFont val="Arial MT"/>
        <family val="2"/>
      </rPr>
      <t>(Campus 22@) (presencial) (simultaneïtat) (Barcelona)</t>
    </r>
  </si>
  <si>
    <r>
      <rPr>
        <sz val="10"/>
        <rFont val="Arial MT"/>
        <family val="2"/>
      </rPr>
      <t xml:space="preserve">Empresa, Innovació i Tecnologia / Màrqueting, Innovació i Tecnologia "EUNCET"
</t>
    </r>
    <r>
      <rPr>
        <sz val="10"/>
        <rFont val="Arial MT"/>
        <family val="2"/>
      </rPr>
      <t>(Campus Terrassa) (presencial) (simultaneïtat) (Terrassa)</t>
    </r>
  </si>
  <si>
    <r>
      <rPr>
        <sz val="10"/>
        <rFont val="Arial MT"/>
        <family val="2"/>
      </rPr>
      <t>Empresa Internacional (docència en Anglès) (Barcelona)</t>
    </r>
  </si>
  <si>
    <r>
      <rPr>
        <sz val="10"/>
        <rFont val="Arial MT"/>
        <family val="2"/>
      </rPr>
      <t>Enginyeria Agrària i Alimentària (Lleida)</t>
    </r>
  </si>
  <si>
    <r>
      <rPr>
        <sz val="10"/>
        <rFont val="Arial MT"/>
        <family val="2"/>
      </rPr>
      <t>Enginyeria Agroalimentària (Girona)</t>
    </r>
  </si>
  <si>
    <r>
      <rPr>
        <sz val="10"/>
        <rFont val="Arial MT"/>
        <family val="2"/>
      </rPr>
      <t>Enginyeria Alimentària (Castelldefels)</t>
    </r>
  </si>
  <si>
    <r>
      <rPr>
        <sz val="10"/>
        <rFont val="Arial MT"/>
        <family val="2"/>
      </rPr>
      <t>Enginyeria Ambiental (Castelldefels / Barcelona)</t>
    </r>
  </si>
  <si>
    <r>
      <rPr>
        <sz val="10"/>
        <rFont val="Arial MT"/>
        <family val="2"/>
      </rPr>
      <t>Enginyeria Audiovisual Computacional  (Barcelona)</t>
    </r>
  </si>
  <si>
    <r>
      <rPr>
        <sz val="10"/>
        <rFont val="Arial MT"/>
        <family val="2"/>
      </rPr>
      <t>Enginyeria Biomèdica (Barcelona)</t>
    </r>
  </si>
  <si>
    <r>
      <rPr>
        <sz val="10"/>
        <rFont val="Arial MT"/>
        <family val="2"/>
      </rPr>
      <t>Enginyeria Biomèdica (Barcelona / Sant Adrià de Besòs)</t>
    </r>
  </si>
  <si>
    <r>
      <rPr>
        <sz val="10"/>
        <rFont val="Arial MT"/>
        <family val="2"/>
      </rPr>
      <t>Enginyeria Biomèdica (Girona)</t>
    </r>
  </si>
  <si>
    <r>
      <rPr>
        <sz val="10"/>
        <rFont val="Arial MT"/>
        <family val="2"/>
      </rPr>
      <t>Enginyeria Biomèdica (Tarragona)</t>
    </r>
  </si>
  <si>
    <r>
      <rPr>
        <sz val="10"/>
        <rFont val="Arial MT"/>
        <family val="2"/>
      </rPr>
      <t xml:space="preserve">Enginyeria Biomèdica / Enginyeria de Sistemes i Serveis de Telecomunicacions
</t>
    </r>
    <r>
      <rPr>
        <sz val="10"/>
        <rFont val="Arial MT"/>
        <family val="2"/>
      </rPr>
      <t>(simultaneïtat) (Tarragona)</t>
    </r>
  </si>
  <si>
    <r>
      <rPr>
        <sz val="10"/>
        <rFont val="Arial MT"/>
        <family val="2"/>
      </rPr>
      <t>Enginyeria Civil (Barcelona)</t>
    </r>
  </si>
  <si>
    <r>
      <rPr>
        <sz val="10"/>
        <rFont val="Arial MT"/>
        <family val="2"/>
      </rPr>
      <t xml:space="preserve">Enginyeria Civil, Grau en + Màster universitari en Enginyeria de Camins, Canals i
</t>
    </r>
    <r>
      <rPr>
        <sz val="10"/>
        <rFont val="Arial MT"/>
        <family val="2"/>
      </rPr>
      <t>Ports (PARS: Enginyer/a de Camins, Canals i Ports) (Barcelona)</t>
    </r>
  </si>
  <si>
    <r>
      <rPr>
        <sz val="10"/>
        <rFont val="Arial MT"/>
        <family val="2"/>
      </rPr>
      <t>Enginyeria d'Automoció "EU Salesiana de Sarrià" (Barcelona)</t>
    </r>
  </si>
  <si>
    <r>
      <rPr>
        <sz val="10"/>
        <rFont val="Arial MT"/>
        <family val="2"/>
      </rPr>
      <t>Enginyeria d'Automoció (Campus Manresa) (Manresa / Barcelona)</t>
    </r>
  </si>
  <si>
    <r>
      <rPr>
        <sz val="10"/>
        <rFont val="Arial MT"/>
        <family val="2"/>
      </rPr>
      <t>Enginyeria de Bioprocessos Alimentaris (Tarragona)</t>
    </r>
  </si>
  <si>
    <r>
      <rPr>
        <sz val="10"/>
        <rFont val="Arial MT"/>
        <family val="2"/>
      </rPr>
      <t>Enginyeria de Ciències Agronòmiques (Castelldefels)</t>
    </r>
  </si>
  <si>
    <r>
      <rPr>
        <sz val="10"/>
        <rFont val="Arial MT"/>
        <family val="2"/>
      </rPr>
      <t>Enginyeria de Dades (Cerdanyola del Vallès)</t>
    </r>
  </si>
  <si>
    <r>
      <rPr>
        <sz val="10"/>
        <rFont val="Arial MT"/>
        <family val="2"/>
      </rPr>
      <t>Enginyeria de Disseny Industrial "ELISAVA" (Barcelona)</t>
    </r>
  </si>
  <si>
    <r>
      <rPr>
        <sz val="10"/>
        <rFont val="Arial MT"/>
        <family val="2"/>
      </rPr>
      <t>Enginyeria de Disseny Industrial i Desenvolupament del Producte (Terrassa)</t>
    </r>
  </si>
  <si>
    <r>
      <rPr>
        <sz val="10"/>
        <rFont val="Arial MT"/>
        <family val="2"/>
      </rPr>
      <t xml:space="preserve">Enginyeria de Disseny Industrial i Desenvolupament del Producte (Vilanova i la
</t>
    </r>
    <r>
      <rPr>
        <sz val="10"/>
        <rFont val="Arial MT"/>
        <family val="2"/>
      </rPr>
      <t>Geltrú)</t>
    </r>
  </si>
  <si>
    <r>
      <rPr>
        <sz val="10"/>
        <rFont val="Arial MT"/>
        <family val="2"/>
      </rPr>
      <t>Enginyeria de l'Automoció (Granollers)</t>
    </r>
  </si>
  <si>
    <r>
      <rPr>
        <sz val="10"/>
        <rFont val="Arial MT"/>
        <family val="2"/>
      </rPr>
      <t>Enginyeria de l'Energia (Barcelona / Sant Adrià de Besòs)</t>
    </r>
  </si>
  <si>
    <r>
      <rPr>
        <sz val="10"/>
        <rFont val="Arial MT"/>
        <family val="2"/>
      </rPr>
      <t xml:space="preserve">Enginyeria de l'Energia i Sostenibilitat / Enginyeria en Electrònica Industrial i
</t>
    </r>
    <r>
      <rPr>
        <sz val="10"/>
        <rFont val="Arial MT"/>
        <family val="2"/>
      </rPr>
      <t>Automàtica / Enginyeria Mecànica (agrupació) (Lleida)</t>
    </r>
  </si>
  <si>
    <r>
      <rPr>
        <sz val="10"/>
        <rFont val="Arial MT"/>
        <family val="2"/>
      </rPr>
      <t>Enginyeria de l'Energia i Sostenibilitat / Enginyeria en Electrònica Industrial i</t>
    </r>
  </si>
  <si>
    <r>
      <rPr>
        <sz val="10"/>
        <rFont val="Arial MT"/>
        <family val="2"/>
      </rPr>
      <t>Automàtica / Enginyeria Mecànica (agrupació) Grau en + Màster Universitari en</t>
    </r>
  </si>
  <si>
    <r>
      <rPr>
        <sz val="10"/>
        <rFont val="Arial MT"/>
        <family val="2"/>
      </rPr>
      <t>Enginyeria Industrial (PARS: Enginyer/a Industrial) (Lleida)</t>
    </r>
  </si>
  <si>
    <r>
      <rPr>
        <sz val="10"/>
        <rFont val="Arial MT"/>
        <family val="2"/>
      </rPr>
      <t xml:space="preserve">Enginyeria de l'Energia i Sostenibilitat / Enginyeria Mecànica (simultaneïtat)
</t>
    </r>
    <r>
      <rPr>
        <sz val="10"/>
        <rFont val="Arial MT"/>
        <family val="2"/>
      </rPr>
      <t>(Lleida)</t>
    </r>
  </si>
  <si>
    <r>
      <rPr>
        <sz val="10"/>
        <rFont val="Arial MT"/>
        <family val="2"/>
      </rPr>
      <t>Enginyeria de Materials (Barcelona)</t>
    </r>
  </si>
  <si>
    <r>
      <rPr>
        <sz val="10"/>
        <rFont val="Arial MT"/>
        <family val="2"/>
      </rPr>
      <t>Enginyeria de Materials (Barcelona / Sant Adrià de Besòs)</t>
    </r>
  </si>
  <si>
    <r>
      <rPr>
        <sz val="10"/>
        <rFont val="Arial MT"/>
        <family val="2"/>
      </rPr>
      <t>Enginyeria Electrònica Industrial i Automàtica / Enginyeria Mecànica / Enginyeria</t>
    </r>
  </si>
  <si>
    <r>
      <rPr>
        <sz val="10"/>
        <rFont val="Arial MT"/>
        <family val="2"/>
      </rPr>
      <t>Química / Enginyeria de Recursos Minerals i el seu Reciclatge (agrupació)</t>
    </r>
  </si>
  <si>
    <r>
      <rPr>
        <sz val="10"/>
        <rFont val="Arial MT"/>
        <family val="2"/>
      </rPr>
      <t>(Manresa)</t>
    </r>
  </si>
  <si>
    <r>
      <rPr>
        <sz val="10"/>
        <rFont val="Arial MT"/>
        <family val="2"/>
      </rPr>
      <t>Enginyeria de Satèl·lits (Castelldefels)</t>
    </r>
  </si>
  <si>
    <r>
      <rPr>
        <sz val="10"/>
        <rFont val="Arial MT"/>
        <family val="2"/>
      </rPr>
      <t>Enginyeria de Sistemes Aeroespacials (Castelldefels)</t>
    </r>
  </si>
  <si>
    <r>
      <rPr>
        <sz val="10"/>
        <rFont val="Arial MT"/>
        <family val="2"/>
      </rPr>
      <t>Enginyeria de Sistemes Aeroespacials / Enginyeria de Sistemes de</t>
    </r>
  </si>
  <si>
    <r>
      <rPr>
        <sz val="10"/>
        <rFont val="Arial MT"/>
        <family val="2"/>
      </rPr>
      <t>Telecomunicació - Enginyeria Telemàtica (agrupació de simultaneïtat)</t>
    </r>
  </si>
  <si>
    <r>
      <rPr>
        <sz val="10"/>
        <rFont val="Arial MT"/>
        <family val="2"/>
      </rPr>
      <t>(Castelldefels)</t>
    </r>
  </si>
  <si>
    <r>
      <rPr>
        <sz val="10"/>
        <rFont val="Arial MT"/>
        <family val="2"/>
      </rPr>
      <t>Enginyeria de Sistemes Audiovisuals (Terrassa)</t>
    </r>
  </si>
  <si>
    <r>
      <rPr>
        <sz val="10"/>
        <rFont val="Arial MT"/>
        <family val="2"/>
      </rPr>
      <t>Enginyeria de Sistemes Biològics (Castelldefels)</t>
    </r>
  </si>
  <si>
    <r>
      <rPr>
        <sz val="10"/>
        <rFont val="Arial MT"/>
        <family val="2"/>
      </rPr>
      <t xml:space="preserve">Enginyeria de Sistemes de Telecomunicació / Enginyeria Electrònica de
</t>
    </r>
    <r>
      <rPr>
        <sz val="10"/>
        <rFont val="Arial MT"/>
        <family val="2"/>
      </rPr>
      <t>Telecomunicació (agrupació) (Cerdanyola del Vallès)</t>
    </r>
  </si>
  <si>
    <r>
      <rPr>
        <sz val="10"/>
        <rFont val="Arial MT"/>
        <family val="2"/>
      </rPr>
      <t xml:space="preserve">Enginyeria de Sistemes de Telecomunicació / Enginyeria Informàtica
</t>
    </r>
    <r>
      <rPr>
        <sz val="10"/>
        <rFont val="Arial MT"/>
        <family val="2"/>
      </rPr>
      <t>(simultaneïtat) (Cerdanyola del Vallès)</t>
    </r>
  </si>
  <si>
    <r>
      <rPr>
        <sz val="10"/>
        <rFont val="Arial MT"/>
        <family val="2"/>
      </rPr>
      <t xml:space="preserve">Enginyeria de Sistemes de Telecomunicació / Enginyeria Telemàtica (inclou
</t>
    </r>
    <r>
      <rPr>
        <sz val="10"/>
        <rFont val="Arial MT"/>
        <family val="2"/>
      </rPr>
      <t>xarxes i Internet) (agrupació) (Castelldefels)</t>
    </r>
  </si>
  <si>
    <r>
      <rPr>
        <sz val="10"/>
        <rFont val="Arial MT"/>
        <family val="2"/>
      </rPr>
      <t xml:space="preserve">Enginyeria de Sistemes de Telecomunicació / Enginyeria Telemàtica (inclou
</t>
    </r>
    <r>
      <rPr>
        <sz val="10"/>
        <rFont val="Arial MT"/>
        <family val="2"/>
      </rPr>
      <t>xarxes i Internet) (febrer) (agrupació) (Castelldefels)</t>
    </r>
  </si>
  <si>
    <r>
      <rPr>
        <sz val="10"/>
        <rFont val="Arial MT"/>
        <family val="2"/>
      </rPr>
      <t>Enginyeria de Sistemes i Serveis de Telecomunicacions (Tarragona)</t>
    </r>
  </si>
  <si>
    <r>
      <rPr>
        <sz val="10"/>
        <rFont val="Arial MT"/>
        <family val="2"/>
      </rPr>
      <t>Enginyeria de Sistemes TIC (àmbit d'Informàtica i Comunicacions) (Manresa)</t>
    </r>
  </si>
  <si>
    <r>
      <rPr>
        <sz val="10"/>
        <rFont val="Arial MT"/>
        <family val="2"/>
      </rPr>
      <t>Enginyeria de Tecnologia i Disseny Tèxtil / Enginyeria Elèctrica / Enginyeria</t>
    </r>
  </si>
  <si>
    <r>
      <rPr>
        <sz val="10"/>
        <rFont val="Arial MT"/>
        <family val="2"/>
      </rPr>
      <t>Electrònica Industrial i Automàtica / Enginyeria Mecànica / Enginyeria Química</t>
    </r>
  </si>
  <si>
    <r>
      <rPr>
        <sz val="10"/>
        <rFont val="Arial MT"/>
        <family val="2"/>
      </rPr>
      <t>(agrupació) (Terrassa)</t>
    </r>
  </si>
  <si>
    <r>
      <rPr>
        <sz val="10"/>
        <rFont val="Arial MT"/>
        <family val="2"/>
      </rPr>
      <t>Enginyeria de Tecnologies i Serveis de Telecomunicació (especialitats en</t>
    </r>
  </si>
  <si>
    <r>
      <rPr>
        <sz val="10"/>
        <rFont val="Arial MT"/>
        <family val="2"/>
      </rPr>
      <t>Telecomunicació, Audiovisuals i Telemàtica, que inclou xarxes i internet)</t>
    </r>
  </si>
  <si>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</si>
  <si>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Enginyeria de Tecnologies i Serveis de Telecomunicació (Telecomunicació,</t>
    </r>
  </si>
  <si>
    <r>
      <rPr>
        <sz val="10"/>
        <rFont val="Arial MT"/>
        <family val="2"/>
      </rPr>
      <t xml:space="preserve">Audiovisuals i Telemàtica, xarxes i internet), Grau en + Màster Universitari
</t>
    </r>
    <r>
      <rPr>
        <sz val="10"/>
        <rFont val="Arial MT"/>
        <family val="2"/>
      </rPr>
      <t>Enginyeria de Telecomunicació (PARS: Enginyer/a de Telecomunicació)</t>
    </r>
  </si>
  <si>
    <r>
      <rPr>
        <sz val="10"/>
        <rFont val="Arial MT"/>
        <family val="2"/>
      </rPr>
      <t>Enginyeria de Xarxes de Telecomunicació (Barcelona)</t>
    </r>
  </si>
  <si>
    <r>
      <rPr>
        <sz val="10"/>
        <rFont val="Arial MT"/>
        <family val="2"/>
      </rPr>
      <t xml:space="preserve">Enginyeria d'Organització Industrial / Enginyeria Electrònica Industrial i
</t>
    </r>
    <r>
      <rPr>
        <sz val="10"/>
        <rFont val="Arial MT"/>
        <family val="2"/>
      </rPr>
      <t>Automàtica / Enginyeria Mecànica "Tecnocampus" (agrupació) (Mataró)</t>
    </r>
  </si>
  <si>
    <r>
      <rPr>
        <sz val="10"/>
        <rFont val="Arial MT"/>
        <family val="2"/>
      </rPr>
      <t>Enginyeria Elèctrica (Barcelona / Sant Adrià de Besòs)</t>
    </r>
  </si>
  <si>
    <r>
      <rPr>
        <sz val="10"/>
        <rFont val="Arial MT"/>
        <family val="2"/>
      </rPr>
      <t>Enginyeria Elèctrica (Girona)</t>
    </r>
  </si>
  <si>
    <r>
      <rPr>
        <sz val="10"/>
        <rFont val="Arial MT"/>
        <family val="2"/>
      </rPr>
      <t>Enginyeria Elèctrica (Tarragona)</t>
    </r>
  </si>
  <si>
    <r>
      <rPr>
        <sz val="10"/>
        <rFont val="Arial MT"/>
        <family val="2"/>
      </rPr>
      <t xml:space="preserve">Enginyeria Elèctrica / Enginyeria Electrònica Industrial i Automàtica
</t>
    </r>
    <r>
      <rPr>
        <sz val="10"/>
        <rFont val="Arial MT"/>
        <family val="2"/>
      </rPr>
      <t>(simultaneïtat) (Girona)</t>
    </r>
  </si>
  <si>
    <r>
      <rPr>
        <sz val="10"/>
        <rFont val="Arial MT"/>
        <family val="2"/>
      </rPr>
      <t xml:space="preserve">Enginyeria Elèctrica / Enginyeria Electrònica Industrial i Automàtica
</t>
    </r>
    <r>
      <rPr>
        <sz val="10"/>
        <rFont val="Arial MT"/>
        <family val="2"/>
      </rPr>
      <t>(simultaneïtat) (Tarragona)</t>
    </r>
  </si>
  <si>
    <r>
      <rPr>
        <sz val="10"/>
        <rFont val="Arial MT"/>
        <family val="2"/>
      </rPr>
      <t xml:space="preserve">Enginyeria Elèctrica i Sistemes Ferroviaris / Enginyeria Electrònica Industrial i
</t>
    </r>
    <r>
      <rPr>
        <sz val="10"/>
        <rFont val="Arial MT"/>
        <family val="2"/>
      </rPr>
      <t>Automàtica / Enginyeria Mecànica (agrupació) (Vilanova i la Geltrú)</t>
    </r>
  </si>
  <si>
    <r>
      <rPr>
        <sz val="10"/>
        <rFont val="Arial MT"/>
        <family val="2"/>
      </rPr>
      <t>Enginyeria Electrònica de Telecomunicació (Barcelona)</t>
    </r>
  </si>
  <si>
    <r>
      <rPr>
        <sz val="10"/>
        <rFont val="Arial MT"/>
        <family val="2"/>
      </rPr>
      <t xml:space="preserve">Enginyeria Electrònica de Telecomunicació / Enginyeria Informàtica
</t>
    </r>
    <r>
      <rPr>
        <sz val="10"/>
        <rFont val="Arial MT"/>
        <family val="2"/>
      </rPr>
      <t>(simultaneïtat) (Cerdanyola del Vallès)</t>
    </r>
  </si>
  <si>
    <r>
      <rPr>
        <sz val="10"/>
        <rFont val="Arial MT"/>
        <family val="2"/>
      </rPr>
      <t xml:space="preserve">Enginyeria Electrònica Industrial i Automàtica "EU Salesiana de Sarrià"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</si>
  <si>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Enginyeria Electrònica Industrial i Automàtica (Barcelona / Sant Adrià de Besòs)</t>
    </r>
  </si>
  <si>
    <r>
      <rPr>
        <sz val="10"/>
        <rFont val="Arial MT"/>
        <family val="2"/>
      </rPr>
      <t>Enginyeria Electrònica Industrial i Automàtica (Girona)</t>
    </r>
  </si>
  <si>
    <r>
      <rPr>
        <sz val="10"/>
        <rFont val="Arial MT"/>
        <family val="2"/>
      </rPr>
      <t>Enginyeria Electrònica Industrial i Automàtica (Tarragona)</t>
    </r>
  </si>
  <si>
    <r>
      <rPr>
        <sz val="10"/>
        <rFont val="Arial MT"/>
        <family val="2"/>
      </rPr>
      <t xml:space="preserve">Enginyeria Electrònica Industrial i Automàtica / Enginyeria Mecànica "EU
</t>
    </r>
    <r>
      <rPr>
        <sz val="10"/>
        <rFont val="Arial MT"/>
        <family val="2"/>
      </rPr>
      <t>Salesiana de Sarrià" (simultaneïtat) (Barcelona)</t>
    </r>
  </si>
  <si>
    <r>
      <rPr>
        <sz val="10"/>
        <rFont val="Arial MT"/>
        <family val="2"/>
      </rPr>
      <t xml:space="preserve">Enginyeria en Energies Renovables i Eficiència Energètica "EU Salesiana de
</t>
    </r>
    <r>
      <rPr>
        <sz val="10"/>
        <rFont val="Arial MT"/>
        <family val="2"/>
      </rPr>
      <t>Sarrià" (Barcelona)</t>
    </r>
  </si>
  <si>
    <r>
      <rPr>
        <sz val="10"/>
        <rFont val="Arial MT"/>
        <family val="2"/>
      </rPr>
      <t>Enginyeria en Geoinformació i Geomàtica (Barcelona)</t>
    </r>
  </si>
  <si>
    <r>
      <rPr>
        <sz val="10"/>
        <rFont val="Arial MT"/>
        <family val="2"/>
      </rPr>
      <t>Enginyeria en Informàtica (Barcelona)</t>
    </r>
  </si>
  <si>
    <r>
      <rPr>
        <sz val="10"/>
        <rFont val="Arial MT"/>
        <family val="2"/>
      </rPr>
      <t>Enginyeria en Organització Industrial "EU Salesiana de Sarrià" (Barcelona)</t>
    </r>
  </si>
  <si>
    <r>
      <rPr>
        <sz val="10"/>
        <rFont val="Arial MT"/>
        <family val="2"/>
      </rPr>
      <t xml:space="preserve">Enginyeria en Organització Industrial i Logística / Enginyeria Química (agrupació)
</t>
    </r>
    <r>
      <rPr>
        <sz val="10"/>
        <rFont val="Arial MT"/>
        <family val="2"/>
      </rPr>
      <t>(Igualada)</t>
    </r>
  </si>
  <si>
    <r>
      <rPr>
        <sz val="10"/>
        <rFont val="Arial MT"/>
        <family val="2"/>
      </rPr>
      <t>Enginyeria en Sistemes i Tecnologia Naval (Barcelona)</t>
    </r>
  </si>
  <si>
    <r>
      <rPr>
        <sz val="10"/>
        <rFont val="Arial MT"/>
        <family val="2"/>
      </rPr>
      <t xml:space="preserve">Enginyeria en Tecnologies Aeroespacials, Grau en + Màster Universitari en
</t>
    </r>
    <r>
      <rPr>
        <sz val="10"/>
        <rFont val="Arial MT"/>
        <family val="2"/>
      </rPr>
      <t>Enginyeria Aeronàutica (PARS: Enginyer/a Aeronàutic/a) (Terrassa)</t>
    </r>
  </si>
  <si>
    <r>
      <rPr>
        <sz val="10"/>
        <rFont val="Arial MT"/>
        <family val="2"/>
      </rPr>
      <t xml:space="preserve">Enginyeria en Tecnologies Industrials, Grau en + Màster Universitari en
</t>
    </r>
    <r>
      <rPr>
        <sz val="10"/>
        <rFont val="Arial MT"/>
        <family val="2"/>
      </rPr>
      <t>Enginyeria Industrial (PARS: Enginyer/a en Tecnologies Industrials) (Girona)</t>
    </r>
  </si>
  <si>
    <r>
      <rPr>
        <sz val="10"/>
        <rFont val="Arial MT"/>
        <family val="2"/>
      </rPr>
      <t xml:space="preserve">Enginyeria en Tecnologies Industrials, Grau en + Màster Universitari en
</t>
    </r>
    <r>
      <rPr>
        <sz val="10"/>
        <rFont val="Arial MT"/>
        <family val="2"/>
      </rPr>
      <t>Enginyeria Industrial (PARS: Enginyer/a Industrial) (Terrassa)</t>
    </r>
  </si>
  <si>
    <r>
      <rPr>
        <sz val="10"/>
        <rFont val="Arial MT"/>
        <family val="2"/>
      </rPr>
      <t xml:space="preserve">Enginyeria en Tecnologies Industrials, Grau en + Màster Universitari en
</t>
    </r>
    <r>
      <rPr>
        <sz val="10"/>
        <rFont val="Arial MT"/>
        <family val="2"/>
      </rPr>
      <t>Enginyeria Industrial (PARS: Enginyer/a Industrial) (Barcelona)</t>
    </r>
  </si>
  <si>
    <r>
      <rPr>
        <sz val="10"/>
        <rFont val="Arial MT"/>
        <family val="2"/>
      </rPr>
      <t>Enginyeria en Vehicles Aeroespacials (Terrassa)</t>
    </r>
  </si>
  <si>
    <r>
      <rPr>
        <sz val="10"/>
        <rFont val="Arial MT"/>
        <family val="2"/>
      </rPr>
      <t>Enginyeria Física (Barcelona)</t>
    </r>
  </si>
  <si>
    <r>
      <rPr>
        <sz val="10"/>
        <rFont val="Arial MT"/>
        <family val="2"/>
      </rPr>
      <t>Enginyeria Forestal (Lleida)</t>
    </r>
  </si>
  <si>
    <r>
      <rPr>
        <sz val="10"/>
        <rFont val="Arial MT"/>
        <family val="2"/>
      </rPr>
      <t>Enginyeria Informàtica (Barcelona)</t>
    </r>
  </si>
  <si>
    <r>
      <rPr>
        <sz val="10"/>
        <rFont val="Arial MT"/>
        <family val="2"/>
      </rPr>
      <t>Enginyeria Informàtica (Cerdanyola del Vallès)</t>
    </r>
  </si>
  <si>
    <r>
      <rPr>
        <sz val="10"/>
        <rFont val="Arial MT"/>
        <family val="2"/>
      </rPr>
      <t>Enginyeria Informàtica (Girona)</t>
    </r>
  </si>
  <si>
    <r>
      <rPr>
        <sz val="10"/>
        <rFont val="Arial MT"/>
        <family val="2"/>
      </rPr>
      <t>Enginyeria Informàtica (Igualada)</t>
    </r>
  </si>
  <si>
    <r>
      <rPr>
        <sz val="10"/>
        <rFont val="Arial MT"/>
        <family val="2"/>
      </rPr>
      <t>Enginyeria Informàtica (Lleida)</t>
    </r>
  </si>
  <si>
    <r>
      <rPr>
        <sz val="10"/>
        <rFont val="Arial MT"/>
        <family val="2"/>
      </rPr>
      <t>Enginyeria Informàtica (Tarragona)</t>
    </r>
  </si>
  <si>
    <r>
      <rPr>
        <sz val="10"/>
        <rFont val="Arial MT"/>
        <family val="2"/>
      </rPr>
      <t>Enginyeria Informàtica (Vilanova i la Geltrú)</t>
    </r>
  </si>
  <si>
    <r>
      <rPr>
        <sz val="10"/>
        <rFont val="Arial MT"/>
        <family val="2"/>
      </rPr>
      <t xml:space="preserve">Enginyeria Informàtica, Grau en + Màster Universitari en Enginyeria Informàtica
</t>
    </r>
    <r>
      <rPr>
        <sz val="10"/>
        <rFont val="Arial MT"/>
        <family val="2"/>
      </rPr>
      <t>(PARS: Enginyer/a Informàtic/a) (Barcelona)</t>
    </r>
  </si>
  <si>
    <r>
      <rPr>
        <sz val="10"/>
        <rFont val="Arial MT"/>
        <family val="2"/>
      </rPr>
      <t xml:space="preserve">Enginyeria Informàtica, Grau en + Màster Universitari en Enginyeria Informàtica
</t>
    </r>
    <r>
      <rPr>
        <sz val="10"/>
        <rFont val="Arial MT"/>
        <family val="2"/>
      </rPr>
      <t>(PARS: Enginyer/a Informàtic/a) (Lleida)</t>
    </r>
  </si>
  <si>
    <r>
      <rPr>
        <sz val="10"/>
        <rFont val="Arial MT"/>
        <family val="2"/>
      </rPr>
      <t>Enginyeria Informàtica / Matemàtiques (simultaneïtat) (Barcelona)</t>
    </r>
  </si>
  <si>
    <r>
      <rPr>
        <sz val="10"/>
        <rFont val="Arial MT"/>
        <family val="2"/>
      </rPr>
      <t xml:space="preserve">Enginyeria Informàtica de Gestió i Sistemes d'Informació "Tecnocampus"
</t>
    </r>
    <r>
      <rPr>
        <sz val="10"/>
        <rFont val="Arial MT"/>
        <family val="2"/>
      </rPr>
      <t>(Mataró)</t>
    </r>
  </si>
  <si>
    <r>
      <rPr>
        <sz val="10"/>
        <rFont val="Arial MT"/>
        <family val="2"/>
      </rPr>
      <t>Enginyeria Matemàtica en Ciència de Dades (Barcelona)</t>
    </r>
  </si>
  <si>
    <r>
      <rPr>
        <sz val="10"/>
        <rFont val="Arial MT"/>
        <family val="2"/>
      </rPr>
      <t>Enginyeria Matemàtica i Física (Tarragona)</t>
    </r>
  </si>
  <si>
    <r>
      <rPr>
        <sz val="10"/>
        <rFont val="Arial MT"/>
        <family val="2"/>
      </rPr>
      <t>Enginyeria Mecànica "EU Salesiana de Sarrià" (Barcelona)</t>
    </r>
  </si>
  <si>
    <r>
      <rPr>
        <sz val="10"/>
        <rFont val="Arial MT"/>
        <family val="2"/>
      </rPr>
      <t>Enginyeria Mecànica (Barcelona / Sant Adrià de Besòs)</t>
    </r>
  </si>
  <si>
    <r>
      <rPr>
        <sz val="10"/>
        <rFont val="Arial MT"/>
        <family val="2"/>
      </rPr>
      <t>Enginyeria Mecànica (Girona)</t>
    </r>
  </si>
  <si>
    <r>
      <rPr>
        <sz val="10"/>
        <rFont val="Arial MT"/>
        <family val="2"/>
      </rPr>
      <t>Enginyeria Mecànica (Tarragona)</t>
    </r>
  </si>
  <si>
    <r>
      <rPr>
        <sz val="10"/>
        <rFont val="Arial MT"/>
        <family val="2"/>
      </rPr>
      <t>Enginyeria Mecatrònica (Vic)</t>
    </r>
  </si>
  <si>
    <r>
      <rPr>
        <sz val="10"/>
        <rFont val="Arial MT"/>
        <family val="2"/>
      </rPr>
      <t>Enginyeria Química (Barcelona)</t>
    </r>
  </si>
  <si>
    <r>
      <rPr>
        <sz val="10"/>
        <rFont val="Arial MT"/>
        <family val="2"/>
      </rPr>
      <t>Enginyeria Química (Barcelona / Sant Adrià de Besòs)</t>
    </r>
  </si>
  <si>
    <r>
      <rPr>
        <sz val="10"/>
        <rFont val="Arial MT"/>
        <family val="2"/>
      </rPr>
      <t>Enginyeria Química (Cerdanyola del Vallès)</t>
    </r>
  </si>
  <si>
    <r>
      <rPr>
        <sz val="10"/>
        <rFont val="Arial MT"/>
        <family val="2"/>
      </rPr>
      <t>Enginyeria Química (Girona)</t>
    </r>
  </si>
  <si>
    <r>
      <rPr>
        <sz val="10"/>
        <rFont val="Arial MT"/>
        <family val="2"/>
      </rPr>
      <t>Enginyeria Química (Tarragona)</t>
    </r>
  </si>
  <si>
    <r>
      <rPr>
        <sz val="10"/>
        <rFont val="Arial MT"/>
        <family val="2"/>
      </rPr>
      <t>Enologia (Tarragona)</t>
    </r>
  </si>
  <si>
    <r>
      <rPr>
        <sz val="10"/>
        <rFont val="Arial MT"/>
        <family val="2"/>
      </rPr>
      <t>Estadística (Barcelona)</t>
    </r>
  </si>
  <si>
    <r>
      <rPr>
        <sz val="10"/>
        <rFont val="Arial MT"/>
        <family val="2"/>
      </rPr>
      <t>Estadística Aplicada (Cerdanyola del Vallès)</t>
    </r>
  </si>
  <si>
    <r>
      <rPr>
        <sz val="10"/>
        <rFont val="Arial MT"/>
        <family val="2"/>
      </rPr>
      <t>Estadística Aplicada / Sociologia (simultaneïtat) (Cerdanyola del Vallès)</t>
    </r>
  </si>
  <si>
    <r>
      <rPr>
        <sz val="10"/>
        <rFont val="Arial MT"/>
        <family val="2"/>
      </rPr>
      <t>Estudis Anglesos (docència en Anglès) (Barcelona)</t>
    </r>
  </si>
  <si>
    <r>
      <rPr>
        <sz val="10"/>
        <rFont val="Arial MT"/>
        <family val="2"/>
      </rPr>
      <t>Estudis Anglesos (Cerdanyola del Vallès)</t>
    </r>
  </si>
  <si>
    <r>
      <rPr>
        <sz val="10"/>
        <rFont val="Arial MT"/>
        <family val="2"/>
      </rPr>
      <t>Estudis Anglesos (Lleida)</t>
    </r>
  </si>
  <si>
    <r>
      <rPr>
        <sz val="10"/>
        <rFont val="Arial MT"/>
        <family val="2"/>
      </rPr>
      <t>Estudis Anglesos / Llengües Aplicades i Traducció (simultaneïtat) (Lleida)</t>
    </r>
  </si>
  <si>
    <r>
      <rPr>
        <sz val="10"/>
        <rFont val="Arial MT"/>
        <family val="2"/>
      </rPr>
      <t>Estudis Àrabs i Hebreus (Barcelona)</t>
    </r>
  </si>
  <si>
    <r>
      <rPr>
        <sz val="10"/>
        <rFont val="Arial MT"/>
        <family val="2"/>
      </rPr>
      <t>Estudis d'Anglès i Català (Cerdanyola del Vallès)</t>
    </r>
  </si>
  <si>
    <r>
      <rPr>
        <sz val="10"/>
        <rFont val="Arial MT"/>
        <family val="2"/>
      </rPr>
      <t>Estudis d'Anglès i de Clàssiques (Cerdanyola del Vallès)</t>
    </r>
  </si>
  <si>
    <r>
      <rPr>
        <sz val="10"/>
        <rFont val="Arial MT"/>
        <family val="2"/>
      </rPr>
      <t>Estudis d'Anglès i Espanyol (Cerdanyola del Vallès)</t>
    </r>
  </si>
  <si>
    <r>
      <rPr>
        <sz val="10"/>
        <rFont val="Arial MT"/>
        <family val="2"/>
      </rPr>
      <t>Estudis d'Anglès i Francès (Cerdanyola del Vallès)</t>
    </r>
  </si>
  <si>
    <r>
      <rPr>
        <sz val="10"/>
        <rFont val="Arial MT"/>
        <family val="2"/>
      </rPr>
      <t>Estudis d'Àsia Oriental -Japonès- (Cerdanyola del Vallès)</t>
    </r>
  </si>
  <si>
    <r>
      <rPr>
        <sz val="10"/>
        <rFont val="Arial MT"/>
        <family val="2"/>
      </rPr>
      <t>Estudis d'Àsia Oriental -Xinès- (Cerdanyola del Vallès)</t>
    </r>
  </si>
  <si>
    <r>
      <rPr>
        <sz val="10"/>
        <rFont val="Arial MT"/>
        <family val="2"/>
      </rPr>
      <t>Estudis d'Espanyol i Xinès: Llengua, Literatura i Cultura (Cerdanyola del Vallès)</t>
    </r>
  </si>
  <si>
    <r>
      <rPr>
        <sz val="10"/>
        <rFont val="Arial MT"/>
        <family val="2"/>
      </rPr>
      <t>Estudis de Català i Espanyol (Cerdanyola del Vallès)</t>
    </r>
  </si>
  <si>
    <r>
      <rPr>
        <sz val="10"/>
        <rFont val="Arial MT"/>
        <family val="2"/>
      </rPr>
      <t>Estudis Globals (Barcelona)</t>
    </r>
  </si>
  <si>
    <r>
      <rPr>
        <sz val="10"/>
        <rFont val="Arial MT"/>
        <family val="2"/>
      </rPr>
      <t>Estudis Globals (Només per a estudiants amb uns estudis de batxillerat o</t>
    </r>
  </si>
  <si>
    <r>
      <rPr>
        <sz val="10"/>
        <rFont val="Arial MT"/>
        <family val="2"/>
      </rPr>
      <t>equivalent que NO pertanyin a sistemes educatius de la Unió Europea ni d'altres</t>
    </r>
  </si>
  <si>
    <r>
      <rPr>
        <sz val="10"/>
        <rFont val="Arial MT"/>
        <family val="2"/>
      </rPr>
      <t>estats amb acords de reciprocitats) (Barcelona)</t>
    </r>
  </si>
  <si>
    <r>
      <rPr>
        <sz val="10"/>
        <rFont val="Arial MT"/>
        <family val="2"/>
      </rPr>
      <t>Estudis Globals / Global Studies (docència en Anglès) (Girona)</t>
    </r>
  </si>
  <si>
    <r>
      <rPr>
        <sz val="10"/>
        <rFont val="Arial MT"/>
        <family val="2"/>
      </rPr>
      <t>Estudis Globals / Global Studies (docència en Anglès) (Vic)</t>
    </r>
  </si>
  <si>
    <r>
      <rPr>
        <sz val="10"/>
        <rFont val="Arial MT"/>
        <family val="2"/>
      </rPr>
      <t xml:space="preserve">Estudis Globals / Global Studies (docència en Anglès) / Turisme (simultaneïtat)
</t>
    </r>
    <r>
      <rPr>
        <sz val="10"/>
        <rFont val="Arial MT"/>
        <family val="2"/>
      </rPr>
      <t>(Girona)</t>
    </r>
  </si>
  <si>
    <r>
      <rPr>
        <sz val="10"/>
        <rFont val="Arial MT"/>
        <family val="2"/>
      </rPr>
      <t xml:space="preserve">Estudis Internacionals d'Economia i Empresa - International Business Economics
</t>
    </r>
    <r>
      <rPr>
        <sz val="10"/>
        <rFont val="Arial MT"/>
        <family val="2"/>
      </rPr>
      <t>(docència en Anglès) (Barcelona)</t>
    </r>
  </si>
  <si>
    <r>
      <rPr>
        <sz val="10"/>
        <rFont val="Arial MT"/>
        <family val="2"/>
      </rPr>
      <t>Estudis Socioculturals de Gènere (Cerdanyola del Vallès)</t>
    </r>
  </si>
  <si>
    <r>
      <rPr>
        <sz val="10"/>
        <rFont val="Arial MT"/>
        <family val="2"/>
      </rPr>
      <t>Estudis Literaris (Barcelona)</t>
    </r>
  </si>
  <si>
    <r>
      <rPr>
        <sz val="10"/>
        <rFont val="Arial MT"/>
        <family val="2"/>
      </rPr>
      <t>Farmàcia (Barcelona)</t>
    </r>
  </si>
  <si>
    <r>
      <rPr>
        <sz val="10"/>
        <rFont val="Arial MT"/>
        <family val="2"/>
      </rPr>
      <t xml:space="preserve">Farmàcia / Nutrició Humana i Dietètica (simultaneïtat) (Barcelona / Santa Coloma
</t>
    </r>
    <r>
      <rPr>
        <sz val="10"/>
        <rFont val="Arial MT"/>
        <family val="2"/>
      </rPr>
      <t>de Gramenet)</t>
    </r>
  </si>
  <si>
    <r>
      <rPr>
        <sz val="10"/>
        <rFont val="Arial MT"/>
        <family val="2"/>
      </rPr>
      <t>Filologia Catalana (Barcelona)</t>
    </r>
  </si>
  <si>
    <r>
      <rPr>
        <sz val="10"/>
        <rFont val="Arial MT"/>
        <family val="2"/>
      </rPr>
      <t>Filologia Catalana (Girona)</t>
    </r>
  </si>
  <si>
    <r>
      <rPr>
        <sz val="10"/>
        <rFont val="Arial MT"/>
        <family val="2"/>
      </rPr>
      <t>Filologia Catalana: Estudis de Literatura i Lingüística (Cerdanyola del Vallès)</t>
    </r>
  </si>
  <si>
    <r>
      <rPr>
        <sz val="10"/>
        <rFont val="Arial MT"/>
        <family val="2"/>
      </rPr>
      <t>Filologia Catalana i Estudis Occitans (Lleida)</t>
    </r>
  </si>
  <si>
    <r>
      <rPr>
        <sz val="10"/>
        <rFont val="Arial MT"/>
        <family val="2"/>
      </rPr>
      <t xml:space="preserve">Filologia Catalana i Estudis Occitans / Llengües Aplicades i Traducció
</t>
    </r>
    <r>
      <rPr>
        <sz val="10"/>
        <rFont val="Arial MT"/>
        <family val="2"/>
      </rPr>
      <t>(simultaneïtat) (Lleida)</t>
    </r>
  </si>
  <si>
    <r>
      <rPr>
        <sz val="10"/>
        <rFont val="Arial MT"/>
        <family val="2"/>
      </rPr>
      <t>Filologia Catalana / Filologia Hispànica (simultaneïtat) (Girona)</t>
    </r>
  </si>
  <si>
    <r>
      <rPr>
        <sz val="10"/>
        <rFont val="Arial MT"/>
        <family val="2"/>
      </rPr>
      <t>Filologia Clàssica (Barcelona)</t>
    </r>
  </si>
  <si>
    <r>
      <rPr>
        <sz val="10"/>
        <rFont val="Arial MT"/>
        <family val="2"/>
      </rPr>
      <t>Filologia Hispànica (Barcelona)</t>
    </r>
  </si>
  <si>
    <r>
      <rPr>
        <sz val="10"/>
        <rFont val="Arial MT"/>
        <family val="2"/>
      </rPr>
      <t>Filologia Hispànica (Girona)</t>
    </r>
  </si>
  <si>
    <r>
      <rPr>
        <sz val="10"/>
        <rFont val="Arial MT"/>
        <family val="2"/>
      </rPr>
      <t>Filologia Hispànica (Lleida)</t>
    </r>
  </si>
  <si>
    <r>
      <rPr>
        <sz val="10"/>
        <rFont val="Arial MT"/>
        <family val="2"/>
      </rPr>
      <t>Filologia Hispànica / Llengües Aplicades i Traducció (simultaneïtat) (Lleida)</t>
    </r>
  </si>
  <si>
    <r>
      <rPr>
        <sz val="10"/>
        <rFont val="Arial MT"/>
        <family val="2"/>
      </rPr>
      <t>Filosofia (Barcelona)</t>
    </r>
  </si>
  <si>
    <r>
      <rPr>
        <sz val="10"/>
        <rFont val="Arial MT"/>
        <family val="2"/>
      </rPr>
      <t>Filosofia (Cerdanyola del Vallès)</t>
    </r>
  </si>
  <si>
    <r>
      <rPr>
        <sz val="10"/>
        <rFont val="Arial MT"/>
        <family val="2"/>
      </rPr>
      <t>Filosofia (Girona)</t>
    </r>
  </si>
  <si>
    <r>
      <rPr>
        <sz val="10"/>
        <rFont val="Arial MT"/>
        <family val="2"/>
      </rPr>
      <t>Filosofia, Política i Economia (Cerdanyola del Vallès / Barcelona)</t>
    </r>
  </si>
  <si>
    <r>
      <rPr>
        <sz val="10"/>
        <rFont val="Arial MT"/>
        <family val="2"/>
      </rPr>
      <t>UPF / UAB</t>
    </r>
  </si>
  <si>
    <r>
      <rPr>
        <sz val="10"/>
        <rFont val="Arial MT"/>
        <family val="2"/>
      </rPr>
      <t>Finances i Comptabilitat (Reus)</t>
    </r>
  </si>
  <si>
    <r>
      <rPr>
        <sz val="10"/>
        <rFont val="Arial MT"/>
        <family val="2"/>
      </rPr>
      <t>Física (Barcelona)</t>
    </r>
  </si>
  <si>
    <r>
      <rPr>
        <sz val="10"/>
        <rFont val="Arial MT"/>
        <family val="2"/>
      </rPr>
      <t>Física (Cerdanyola del Vallès)</t>
    </r>
  </si>
  <si>
    <r>
      <rPr>
        <sz val="10"/>
        <rFont val="Arial MT"/>
        <family val="2"/>
      </rPr>
      <t>Física / Matemàtiques (simultaneïtat) (Barcelona)</t>
    </r>
  </si>
  <si>
    <r>
      <rPr>
        <sz val="10"/>
        <rFont val="Arial MT"/>
        <family val="2"/>
      </rPr>
      <t>Física / Matemàtiques (simultaneïtat) (Cerdanyola del Vallès)</t>
    </r>
  </si>
  <si>
    <r>
      <rPr>
        <sz val="10"/>
        <rFont val="Arial MT"/>
        <family val="2"/>
      </rPr>
      <t>Física / Química (simultaneïtat) (Cerdanyola del Vallès)</t>
    </r>
  </si>
  <si>
    <r>
      <rPr>
        <sz val="10"/>
        <rFont val="Arial MT"/>
        <family val="2"/>
      </rPr>
      <t>Fisioteràpia (Cerdanyola del Vallès)</t>
    </r>
  </si>
  <si>
    <r>
      <rPr>
        <sz val="10"/>
        <rFont val="Arial MT"/>
        <family val="2"/>
      </rPr>
      <t>Fisioteràpia (Lleida)</t>
    </r>
  </si>
  <si>
    <r>
      <rPr>
        <sz val="10"/>
        <rFont val="Arial MT"/>
        <family val="2"/>
      </rPr>
      <t>Fisioteràpia "Tecnocampus" (Mataró)</t>
    </r>
  </si>
  <si>
    <r>
      <rPr>
        <sz val="10"/>
        <rFont val="Arial MT"/>
        <family val="2"/>
      </rPr>
      <t>Fisioteràpia (Campus Manresa) (Manresa)</t>
    </r>
  </si>
  <si>
    <r>
      <rPr>
        <sz val="10"/>
        <rFont val="Arial MT"/>
        <family val="2"/>
      </rPr>
      <t>Fisioteràpia (Reus)</t>
    </r>
  </si>
  <si>
    <r>
      <rPr>
        <sz val="10"/>
        <rFont val="Arial MT"/>
        <family val="2"/>
      </rPr>
      <t xml:space="preserve">Fisioteràpia (docència en Anglès) (només per a estudiants espanyols o
</t>
    </r>
    <r>
      <rPr>
        <sz val="10"/>
        <rFont val="Arial MT"/>
        <family val="2"/>
      </rPr>
      <t>estrangers amb residència) (L'Hospitalet de Llobregat)</t>
    </r>
  </si>
  <si>
    <r>
      <rPr>
        <sz val="10"/>
        <rFont val="Arial MT"/>
        <family val="2"/>
      </rPr>
      <t>UdG / UB</t>
    </r>
  </si>
  <si>
    <r>
      <rPr>
        <sz val="10"/>
        <rFont val="Arial MT"/>
        <family val="2"/>
      </rPr>
      <t xml:space="preserve">Fisioteràpia (docència en Anglès) (només per a estudiants sense nacionalitat
</t>
    </r>
    <r>
      <rPr>
        <sz val="10"/>
        <rFont val="Arial MT"/>
        <family val="2"/>
      </rPr>
      <t>espanyola ni residència a l'Estat Espanyol) (L'Hospitalet de Llobregat)</t>
    </r>
  </si>
  <si>
    <r>
      <rPr>
        <sz val="10"/>
        <rFont val="Arial MT"/>
        <family val="2"/>
      </rPr>
      <t>Fisioteràpia "EUSES" (Salt)</t>
    </r>
  </si>
  <si>
    <r>
      <rPr>
        <sz val="10"/>
        <rFont val="Arial MT"/>
        <family val="2"/>
      </rPr>
      <t>Fisioteràpia "Gimbernat" (Sant Cugat del Vallès)</t>
    </r>
  </si>
  <si>
    <r>
      <rPr>
        <sz val="10"/>
        <rFont val="Arial MT"/>
        <family val="2"/>
      </rPr>
      <t>Fisioteràpia "EUSES" (Tortosa)</t>
    </r>
  </si>
  <si>
    <r>
      <rPr>
        <sz val="10"/>
        <rFont val="Arial MT"/>
        <family val="2"/>
      </rPr>
      <t>Fisioteràpia (Vic)</t>
    </r>
  </si>
  <si>
    <r>
      <rPr>
        <sz val="10"/>
        <rFont val="Arial MT"/>
        <family val="2"/>
      </rPr>
      <t>Fisioteràpia / Infermeria (simultaneïtat) (Lleida)</t>
    </r>
  </si>
  <si>
    <r>
      <rPr>
        <sz val="10"/>
        <rFont val="Arial MT"/>
        <family val="2"/>
      </rPr>
      <t>Fisioteràpia / Nutrició Humana i Dietètica (simultaneïtat) (Igualada)</t>
    </r>
  </si>
  <si>
    <r>
      <rPr>
        <sz val="10"/>
        <rFont val="Arial MT"/>
        <family val="2"/>
      </rPr>
      <t>Genètica (Cerdanyola del Vallès)</t>
    </r>
  </si>
  <si>
    <r>
      <rPr>
        <sz val="10"/>
        <rFont val="Arial MT"/>
        <family val="2"/>
      </rPr>
      <t>Geografia (Lleida)</t>
    </r>
  </si>
  <si>
    <r>
      <rPr>
        <sz val="10"/>
        <rFont val="Arial MT"/>
        <family val="2"/>
      </rPr>
      <t>Geografia i Canvi Global (Barcelona)</t>
    </r>
  </si>
  <si>
    <r>
      <rPr>
        <sz val="10"/>
        <rFont val="Arial MT"/>
        <family val="2"/>
      </rPr>
      <t>Geografia, Anàlisi Territorial i Sostenibilitat (Vila-Seca)</t>
    </r>
  </si>
  <si>
    <r>
      <rPr>
        <sz val="10"/>
        <rFont val="Arial MT"/>
        <family val="2"/>
      </rPr>
      <t>Geografia, Medi Ambient i Planificació Territorial (Cerdanyola del Vallès)</t>
    </r>
  </si>
  <si>
    <r>
      <rPr>
        <sz val="10"/>
        <rFont val="Arial MT"/>
        <family val="2"/>
      </rPr>
      <t>Geografia, Territori i Medi Ambient (Girona)</t>
    </r>
  </si>
  <si>
    <r>
      <rPr>
        <sz val="10"/>
        <rFont val="Arial MT"/>
        <family val="2"/>
      </rPr>
      <t>Geologia (Barcelona)</t>
    </r>
  </si>
  <si>
    <r>
      <rPr>
        <sz val="10"/>
        <rFont val="Arial MT"/>
        <family val="2"/>
      </rPr>
      <t>Geologia (Cerdanyola del Vallès)</t>
    </r>
  </si>
  <si>
    <r>
      <rPr>
        <sz val="10"/>
        <rFont val="Arial MT"/>
        <family val="2"/>
      </rPr>
      <t>Gestió Aeronàutica (Sabadell)</t>
    </r>
  </si>
  <si>
    <r>
      <rPr>
        <sz val="10"/>
        <rFont val="Arial MT"/>
        <family val="2"/>
      </rPr>
      <t>Gestió de Ciutats Intel·ligents i Sostenibles (Cerdanyola del Vallès)</t>
    </r>
  </si>
  <si>
    <r>
      <rPr>
        <sz val="10"/>
        <rFont val="Arial MT"/>
        <family val="2"/>
      </rPr>
      <t>Gestió d'Informació i Documentació Digital (Barcelona)</t>
    </r>
  </si>
  <si>
    <r>
      <rPr>
        <sz val="10"/>
        <rFont val="Arial MT"/>
        <family val="2"/>
      </rPr>
      <t>Gestió de la Societat Digital (Campus Manresa) (Manresa)</t>
    </r>
  </si>
  <si>
    <r>
      <rPr>
        <sz val="10"/>
        <rFont val="Arial MT"/>
        <family val="2"/>
      </rPr>
      <t>Gestió en Turisme i Hoteleria (Vila-Seca)</t>
    </r>
  </si>
  <si>
    <r>
      <rPr>
        <sz val="10"/>
        <rFont val="Arial MT"/>
        <family val="2"/>
      </rPr>
      <t>Gestió i Administració Pública (Barcelona)</t>
    </r>
  </si>
  <si>
    <r>
      <rPr>
        <sz val="10"/>
        <rFont val="Arial MT"/>
        <family val="2"/>
      </rPr>
      <t>Gestió i Digitalització en l'Esport "EUNCET" (Campus Can Dragó) (Barcelona)</t>
    </r>
  </si>
  <si>
    <r>
      <rPr>
        <sz val="10"/>
        <rFont val="Arial MT"/>
        <family val="2"/>
      </rPr>
      <t xml:space="preserve">Gestió i Digitalització en l'Esport / Màrqueting, Innovació i Tecnologia "EUNCET"
</t>
    </r>
    <r>
      <rPr>
        <sz val="10"/>
        <rFont val="Arial MT"/>
        <family val="2"/>
      </rPr>
      <t>(Campus Can Dragó + Campus 22@) (presencial) (simultaneïtat) (Barcelona)</t>
    </r>
  </si>
  <si>
    <r>
      <rPr>
        <sz val="10"/>
        <rFont val="Arial MT"/>
        <family val="2"/>
      </rPr>
      <t>Grau Obert, Programa de (agrupació) (Barcelona)</t>
    </r>
  </si>
  <si>
    <r>
      <rPr>
        <sz val="10"/>
        <rFont val="Arial MT"/>
        <family val="2"/>
      </rPr>
      <t>Grau obert "CETT" (Direcció Hotelera Internacional / Màrqueting, Esdeveniments</t>
    </r>
  </si>
  <si>
    <r>
      <rPr>
        <sz val="10"/>
        <rFont val="Arial MT"/>
        <family val="2"/>
      </rPr>
      <t>i Entreteniment / Negoci Digital i Innovació en Turisme / Turisme) (agrupació)</t>
    </r>
  </si>
  <si>
    <r>
      <rPr>
        <sz val="10"/>
        <rFont val="Arial MT"/>
        <family val="2"/>
      </rPr>
      <t>Història (Barcelona)</t>
    </r>
  </si>
  <si>
    <r>
      <rPr>
        <sz val="10"/>
        <rFont val="Arial MT"/>
        <family val="2"/>
      </rPr>
      <t>Història (Cerdanyola del Vallès)</t>
    </r>
  </si>
  <si>
    <r>
      <rPr>
        <sz val="10"/>
        <rFont val="Arial MT"/>
        <family val="2"/>
      </rPr>
      <t>Història (Girona)</t>
    </r>
  </si>
  <si>
    <r>
      <rPr>
        <sz val="10"/>
        <rFont val="Arial MT"/>
        <family val="2"/>
      </rPr>
      <t>Història (Lleida)</t>
    </r>
  </si>
  <si>
    <r>
      <rPr>
        <sz val="10"/>
        <rFont val="Arial MT"/>
        <family val="2"/>
      </rPr>
      <t>Història (Tarragona)</t>
    </r>
  </si>
  <si>
    <r>
      <rPr>
        <sz val="10"/>
        <rFont val="Arial MT"/>
        <family val="2"/>
      </rPr>
      <t>Història / Història de l'Art (simultaneïtat) (Barcelona)</t>
    </r>
  </si>
  <si>
    <r>
      <rPr>
        <sz val="10"/>
        <rFont val="Arial MT"/>
        <family val="2"/>
      </rPr>
      <t>Història / Història de l'Art (simultaneïtat) (Girona)</t>
    </r>
  </si>
  <si>
    <r>
      <rPr>
        <sz val="10"/>
        <rFont val="Arial MT"/>
        <family val="2"/>
      </rPr>
      <t>Història de l'Art (Barcelona)</t>
    </r>
  </si>
  <si>
    <r>
      <rPr>
        <sz val="10"/>
        <rFont val="Arial MT"/>
        <family val="2"/>
      </rPr>
      <t>Història de l'Art (Cerdanyola del Vallès)</t>
    </r>
  </si>
  <si>
    <r>
      <rPr>
        <sz val="10"/>
        <rFont val="Arial MT"/>
        <family val="2"/>
      </rPr>
      <t>Història de l'Art (Girona)</t>
    </r>
  </si>
  <si>
    <r>
      <rPr>
        <sz val="10"/>
        <rFont val="Arial MT"/>
        <family val="2"/>
      </rPr>
      <t>Història de l'Art i Arqueologia (Tarragona)</t>
    </r>
  </si>
  <si>
    <r>
      <rPr>
        <sz val="10"/>
        <rFont val="Arial MT"/>
        <family val="2"/>
      </rPr>
      <t>Història de l'Art i Gestió del Patrimoni Artístic (Lleida)</t>
    </r>
  </si>
  <si>
    <r>
      <rPr>
        <sz val="10"/>
        <rFont val="Arial MT"/>
        <family val="2"/>
      </rPr>
      <t>Història, Política i Economia Contemporànies (Cerdanyola del Vallès)</t>
    </r>
  </si>
  <si>
    <r>
      <rPr>
        <sz val="10"/>
        <rFont val="Arial MT"/>
        <family val="2"/>
      </rPr>
      <t>Humanitats (Barcelona)</t>
    </r>
  </si>
  <si>
    <r>
      <rPr>
        <sz val="10"/>
        <rFont val="Arial MT"/>
        <family val="2"/>
      </rPr>
      <t>Humanitats (Cerdanyola del Vallès)</t>
    </r>
  </si>
  <si>
    <r>
      <rPr>
        <sz val="10"/>
        <rFont val="Arial MT"/>
        <family val="2"/>
      </rPr>
      <t>Infermeria (Campus Clínic) (Barcelona)</t>
    </r>
  </si>
  <si>
    <r>
      <rPr>
        <sz val="10"/>
        <rFont val="Arial MT"/>
        <family val="2"/>
      </rPr>
      <t>Infermeria "Sant Pau" (Barcelona)</t>
    </r>
  </si>
  <si>
    <r>
      <rPr>
        <sz val="10"/>
        <rFont val="Arial MT"/>
        <family val="2"/>
      </rPr>
      <t>Infermeria "Escola Superior d'Infermeria del Mar" (Barcelona)</t>
    </r>
  </si>
  <si>
    <r>
      <rPr>
        <sz val="10"/>
        <rFont val="Arial MT"/>
        <family val="2"/>
      </rPr>
      <t>Infermeria (Cerdanyola del Vallès)</t>
    </r>
  </si>
  <si>
    <r>
      <rPr>
        <sz val="10"/>
        <rFont val="Arial MT"/>
        <family val="2"/>
      </rPr>
      <t>Infermeria (el Vendrell)</t>
    </r>
  </si>
  <si>
    <r>
      <rPr>
        <sz val="10"/>
        <rFont val="Arial MT"/>
        <family val="2"/>
      </rPr>
      <t>Infermeria (Girona)</t>
    </r>
  </si>
  <si>
    <r>
      <rPr>
        <sz val="10"/>
        <rFont val="Arial MT"/>
        <family val="2"/>
      </rPr>
      <t>Infermeria (Igualada)</t>
    </r>
  </si>
  <si>
    <r>
      <rPr>
        <sz val="10"/>
        <rFont val="Arial MT"/>
        <family val="2"/>
      </rPr>
      <t>Infermeria (Campus Bellvitge) (L'Hospitalet de Llobregat)</t>
    </r>
  </si>
  <si>
    <r>
      <rPr>
        <sz val="10"/>
        <rFont val="Arial MT"/>
        <family val="2"/>
      </rPr>
      <t>Infermeria (Lleida)</t>
    </r>
  </si>
  <si>
    <r>
      <rPr>
        <sz val="10"/>
        <rFont val="Arial MT"/>
        <family val="2"/>
      </rPr>
      <t>Infermeria (Campus Manresa) (Manresa)</t>
    </r>
  </si>
  <si>
    <r>
      <rPr>
        <sz val="10"/>
        <rFont val="Arial MT"/>
        <family val="2"/>
      </rPr>
      <t>Infermeria "Tecnocampus" (Mataró)</t>
    </r>
  </si>
  <si>
    <r>
      <rPr>
        <sz val="10"/>
        <rFont val="Arial MT"/>
        <family val="2"/>
      </rPr>
      <t>Infermeria "Sant Joan de Déu" (Sant Boi de Llobregat)</t>
    </r>
  </si>
  <si>
    <r>
      <rPr>
        <sz val="10"/>
        <rFont val="Arial MT"/>
        <family val="2"/>
      </rPr>
      <t>Infermeria "Gimbernat" (Sant Cugat del Vallès)</t>
    </r>
  </si>
  <si>
    <r>
      <rPr>
        <sz val="10"/>
        <rFont val="Arial MT"/>
        <family val="2"/>
      </rPr>
      <t>Infermeria (Tarragona)</t>
    </r>
  </si>
  <si>
    <r>
      <rPr>
        <sz val="10"/>
        <rFont val="Arial MT"/>
        <family val="2"/>
      </rPr>
      <t>Infermeria EUIT de Terrassa (Terrassa)</t>
    </r>
  </si>
  <si>
    <r>
      <rPr>
        <sz val="10"/>
        <rFont val="Arial MT"/>
        <family val="2"/>
      </rPr>
      <t>Infermeria (Tortosa)</t>
    </r>
  </si>
  <si>
    <r>
      <rPr>
        <sz val="10"/>
        <rFont val="Arial MT"/>
        <family val="2"/>
      </rPr>
      <t>Infermeria (Tremp)</t>
    </r>
  </si>
  <si>
    <r>
      <rPr>
        <sz val="10"/>
        <rFont val="Arial MT"/>
        <family val="2"/>
      </rPr>
      <t>Infermeria (Vic)</t>
    </r>
  </si>
  <si>
    <r>
      <rPr>
        <sz val="10"/>
        <rFont val="Arial MT"/>
        <family val="2"/>
      </rPr>
      <t>Infermeria (Vilafranca del Penedès / el Vendrell)</t>
    </r>
  </si>
  <si>
    <r>
      <rPr>
        <sz val="10"/>
        <rFont val="Arial MT"/>
        <family val="2"/>
      </rPr>
      <t>Informàtica i Serveis (Sant Cugat del Vallès)</t>
    </r>
  </si>
  <si>
    <r>
      <rPr>
        <sz val="10"/>
        <rFont val="Arial MT"/>
        <family val="2"/>
      </rPr>
      <t>Innovació i Seguretat Alimentària (Girona)</t>
    </r>
  </si>
  <si>
    <r>
      <rPr>
        <sz val="10"/>
        <rFont val="Arial MT"/>
        <family val="2"/>
      </rPr>
      <t>Intel·ligència Artificial (Barcelona)</t>
    </r>
  </si>
  <si>
    <r>
      <rPr>
        <sz val="10"/>
        <rFont val="Arial MT"/>
        <family val="2"/>
      </rPr>
      <t xml:space="preserve">Intel·ligència Artificial / Artificial Intelligence (docència en Anglès) (Cerdanyola del
</t>
    </r>
    <r>
      <rPr>
        <sz val="10"/>
        <rFont val="Arial MT"/>
        <family val="2"/>
      </rPr>
      <t>Vallès)</t>
    </r>
  </si>
  <si>
    <r>
      <rPr>
        <sz val="10"/>
        <rFont val="Arial MT"/>
        <family val="2"/>
      </rPr>
      <t>Investigació Privada (títol propi, no oficial) (Barcelona)</t>
    </r>
  </si>
  <si>
    <r>
      <rPr>
        <sz val="10"/>
        <rFont val="Arial MT"/>
        <family val="2"/>
      </rPr>
      <t>Lingüística (Barcelona)</t>
    </r>
  </si>
  <si>
    <r>
      <rPr>
        <sz val="10"/>
        <rFont val="Arial MT"/>
        <family val="2"/>
      </rPr>
      <t>Llengua i Literatura Catalanes (Tarragona)</t>
    </r>
  </si>
  <si>
    <r>
      <rPr>
        <sz val="10"/>
        <rFont val="Arial MT"/>
        <family val="2"/>
      </rPr>
      <t>Llengua i Literatura Espanyoles (Cerdanyola del Vallès)</t>
    </r>
  </si>
  <si>
    <r>
      <rPr>
        <sz val="10"/>
        <rFont val="Arial MT"/>
        <family val="2"/>
      </rPr>
      <t>Llengua i Literatura Hispàniques (Tarragona)</t>
    </r>
  </si>
  <si>
    <r>
      <rPr>
        <sz val="10"/>
        <rFont val="Arial MT"/>
        <family val="2"/>
      </rPr>
      <t>Llengües Aplicades (Barcelona)</t>
    </r>
  </si>
  <si>
    <r>
      <rPr>
        <sz val="10"/>
        <rFont val="Arial MT"/>
        <family val="2"/>
      </rPr>
      <t xml:space="preserve">Llengües Aplicades / Traducció i Interpretació -Anglès- (simultaneïtat)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</si>
  <si>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Llengües i Literatures Modernes (Barcelona)</t>
    </r>
  </si>
  <si>
    <r>
      <rPr>
        <sz val="10"/>
        <rFont val="Arial MT"/>
        <family val="2"/>
      </rPr>
      <t>Llengües Romàniques i les seves Literatures (Barcelona)</t>
    </r>
  </si>
  <si>
    <r>
      <rPr>
        <sz val="10"/>
        <rFont val="Arial MT"/>
        <family val="2"/>
      </rPr>
      <t>Logística Empresarial "Mediterrani" (Barcelona)</t>
    </r>
  </si>
  <si>
    <r>
      <rPr>
        <sz val="10"/>
        <rFont val="Arial MT"/>
        <family val="2"/>
      </rPr>
      <t>Logística i Negocis Marítims "Tecnocampus" (Mataró)</t>
    </r>
  </si>
  <si>
    <r>
      <rPr>
        <sz val="10"/>
        <rFont val="Arial MT"/>
        <family val="2"/>
      </rPr>
      <t>Logopèdia (Cerdanyola del Vallès)</t>
    </r>
  </si>
  <si>
    <r>
      <rPr>
        <sz val="10"/>
        <rFont val="Arial MT"/>
        <family val="2"/>
      </rPr>
      <t>Màrqueting "ESIC" (Barcelona)</t>
    </r>
  </si>
  <si>
    <r>
      <rPr>
        <sz val="10"/>
        <rFont val="Arial MT"/>
        <family val="2"/>
      </rPr>
      <t>Màrqueting "ESIC" (docència en Anglès) (Barcelona)</t>
    </r>
  </si>
  <si>
    <r>
      <rPr>
        <sz val="10"/>
        <rFont val="Arial MT"/>
        <family val="2"/>
      </rPr>
      <t>Màrqueting "Mediterrani" (Barcelona)</t>
    </r>
  </si>
  <si>
    <r>
      <rPr>
        <sz val="10"/>
        <rFont val="Arial MT"/>
        <family val="2"/>
      </rPr>
      <t>Màrqueting i Comunicació Digital "Centre Universitari EAE" (Barcelona)</t>
    </r>
  </si>
  <si>
    <r>
      <rPr>
        <sz val="10"/>
        <rFont val="Arial MT"/>
        <family val="2"/>
      </rPr>
      <t>Màrqueting i Comunicació Empresarial (Vic)</t>
    </r>
  </si>
  <si>
    <r>
      <rPr>
        <sz val="10"/>
        <rFont val="Arial MT"/>
        <family val="2"/>
      </rPr>
      <t>Màrqueting i Comunitats Digitals "Tecnocampus" (Mataró)</t>
    </r>
  </si>
  <si>
    <r>
      <rPr>
        <sz val="10"/>
        <rFont val="Arial MT"/>
        <family val="2"/>
      </rPr>
      <t xml:space="preserve">Màrqueting i Comunitats Digitals / Turisme i Gestió del Lleure "Tecnocampus"
</t>
    </r>
    <r>
      <rPr>
        <sz val="10"/>
        <rFont val="Arial MT"/>
        <family val="2"/>
      </rPr>
      <t>(simultaneïtat) (Mataró)</t>
    </r>
  </si>
  <si>
    <r>
      <rPr>
        <sz val="10"/>
        <rFont val="Arial MT"/>
        <family val="2"/>
      </rPr>
      <t>Màrqueting, Esdeveniments i Entreteniment "CETT" (Barcelona)</t>
    </r>
  </si>
  <si>
    <r>
      <rPr>
        <sz val="10"/>
        <rFont val="Arial MT"/>
        <family val="2"/>
      </rPr>
      <t xml:space="preserve">Màrqueting, Innovació i Tecnologia "EUNCET" (Campus 22@) (presencial)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</si>
  <si>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Màrqueting, Innovació i Tecnologia "EUNCET" (Campus 22@) (semipresencial)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</si>
  <si>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Màrqueting, Innovació i Tecnologia "EUNCET" (Campus Terrassa) (presencial)
</t>
    </r>
    <r>
      <rPr>
        <sz val="10"/>
        <rFont val="Arial MT"/>
        <family val="2"/>
      </rPr>
      <t>(Terrassa)</t>
    </r>
  </si>
  <si>
    <r>
      <rPr>
        <sz val="10"/>
        <rFont val="Arial MT"/>
        <family val="2"/>
      </rPr>
      <t xml:space="preserve">Màrqueting, Innovació i Tecnologia "EUNCET" (Campus Terrassa)
</t>
    </r>
    <r>
      <rPr>
        <sz val="10"/>
        <rFont val="Arial MT"/>
        <family val="2"/>
      </rPr>
      <t>(semipresencial) (Terrassa)</t>
    </r>
  </si>
  <si>
    <r>
      <rPr>
        <sz val="10"/>
        <rFont val="Arial MT"/>
        <family val="2"/>
      </rPr>
      <t>Matemàtica Computacional i Analítica de Dades (Cerdanyola del Vallès)</t>
    </r>
  </si>
  <si>
    <r>
      <rPr>
        <sz val="10"/>
        <rFont val="Arial MT"/>
        <family val="2"/>
      </rPr>
      <t>Matemàtiques (Barcelona)</t>
    </r>
  </si>
  <si>
    <r>
      <rPr>
        <sz val="10"/>
        <rFont val="Arial MT"/>
        <family val="2"/>
      </rPr>
      <t>Matemàtiques (Cerdanyola del Vallès)</t>
    </r>
  </si>
  <si>
    <r>
      <rPr>
        <sz val="10"/>
        <rFont val="Arial MT"/>
        <family val="2"/>
      </rPr>
      <t>Medicina (Campus Clínic) (Barcelona)</t>
    </r>
  </si>
  <si>
    <r>
      <rPr>
        <sz val="10"/>
        <rFont val="Arial MT"/>
        <family val="2"/>
      </rPr>
      <t>Medicina (Barcelona)</t>
    </r>
  </si>
  <si>
    <r>
      <rPr>
        <sz val="10"/>
        <rFont val="Arial MT"/>
        <family val="2"/>
      </rPr>
      <t>Medicina (Cerdanyola del Vallès)</t>
    </r>
  </si>
  <si>
    <r>
      <rPr>
        <sz val="10"/>
        <rFont val="Arial MT"/>
        <family val="2"/>
      </rPr>
      <t>Medicina (Girona)</t>
    </r>
  </si>
  <si>
    <r>
      <rPr>
        <sz val="10"/>
        <rFont val="Arial MT"/>
        <family val="2"/>
      </rPr>
      <t>Medicina (Campus Bellvitge) (L'Hospitalet de Llobregat)</t>
    </r>
  </si>
  <si>
    <r>
      <rPr>
        <sz val="10"/>
        <rFont val="Arial MT"/>
        <family val="2"/>
      </rPr>
      <t>Medicina (Lleida)</t>
    </r>
  </si>
  <si>
    <r>
      <rPr>
        <sz val="10"/>
        <rFont val="Arial MT"/>
        <family val="2"/>
      </rPr>
      <t>Medicina (Reus)</t>
    </r>
  </si>
  <si>
    <r>
      <rPr>
        <sz val="10"/>
        <rFont val="Arial MT"/>
        <family val="2"/>
      </rPr>
      <t>Medicina (Vic)</t>
    </r>
  </si>
  <si>
    <r>
      <rPr>
        <sz val="10"/>
        <rFont val="Arial MT"/>
        <family val="2"/>
      </rPr>
      <t>Microbiologia (Cerdanyola del Vallès)</t>
    </r>
  </si>
  <si>
    <r>
      <rPr>
        <sz val="10"/>
        <rFont val="Arial MT"/>
        <family val="2"/>
      </rPr>
      <t>Mitjans Audiovisuals "Tecnocampus" (Mataró)</t>
    </r>
  </si>
  <si>
    <r>
      <rPr>
        <sz val="10"/>
        <rFont val="Arial MT"/>
        <family val="2"/>
      </rPr>
      <t>Moda "ERAM" (Girona / Salt)</t>
    </r>
  </si>
  <si>
    <r>
      <rPr>
        <sz val="10"/>
        <rFont val="Arial MT"/>
        <family val="2"/>
      </rPr>
      <t>Multimèdia. Aplicacions i Videojocs (Vic)</t>
    </r>
  </si>
  <si>
    <r>
      <rPr>
        <sz val="10"/>
        <rFont val="Arial MT"/>
        <family val="2"/>
      </rPr>
      <t>Musicologia (Cerdanyola del Vallès)</t>
    </r>
  </si>
  <si>
    <r>
      <rPr>
        <sz val="10"/>
        <rFont val="Arial MT"/>
        <family val="2"/>
      </rPr>
      <t>Nanociència i Nanotecnologia (Cerdanyola del Vallès)</t>
    </r>
  </si>
  <si>
    <r>
      <rPr>
        <sz val="10"/>
        <rFont val="Arial MT"/>
        <family val="2"/>
      </rPr>
      <t>Nàutica i Transport Marítim (Barcelona)</t>
    </r>
  </si>
  <si>
    <r>
      <rPr>
        <sz val="10"/>
        <rFont val="Arial MT"/>
        <family val="2"/>
      </rPr>
      <t>Negoci Digital i Innovació en Turisme "CETT" (Barcelona)</t>
    </r>
  </si>
  <si>
    <r>
      <rPr>
        <sz val="10"/>
        <rFont val="Arial MT"/>
        <family val="2"/>
      </rPr>
      <t xml:space="preserve">Negoci Digital i Innovació en Turisme / Turisme "CETT" (simultaneïtat)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</si>
  <si>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 xml:space="preserve">Negocis i Màrqueting Internacionals - Bachelor in International Business and
</t>
    </r>
    <r>
      <rPr>
        <sz val="10"/>
        <rFont val="Arial MT"/>
        <family val="2"/>
      </rPr>
      <t>Marketing "ESCI" (Barcelona)</t>
    </r>
  </si>
  <si>
    <r>
      <rPr>
        <sz val="10"/>
        <rFont val="Arial MT"/>
        <family val="2"/>
      </rPr>
      <t xml:space="preserve">Negocis i Màrqueting Internacionals - Bachelor in International Business and
</t>
    </r>
    <r>
      <rPr>
        <sz val="10"/>
        <rFont val="Arial MT"/>
        <family val="2"/>
      </rPr>
      <t>Marketing "ESCI" (docència en anglès) (Barcelona)</t>
    </r>
  </si>
  <si>
    <r>
      <rPr>
        <sz val="10"/>
        <rFont val="Arial MT"/>
        <family val="2"/>
      </rPr>
      <t>Nutrició Humana i Dietètica (Lleida)</t>
    </r>
  </si>
  <si>
    <r>
      <rPr>
        <sz val="10"/>
        <rFont val="Arial MT"/>
        <family val="2"/>
      </rPr>
      <t>Nutrició Humana i Dietètica "Tecnocampus" (Mataró)</t>
    </r>
  </si>
  <si>
    <r>
      <rPr>
        <sz val="10"/>
        <rFont val="Arial MT"/>
        <family val="2"/>
      </rPr>
      <t>Nutrició Humana i Dietètica (Reus)</t>
    </r>
  </si>
  <si>
    <r>
      <rPr>
        <sz val="10"/>
        <rFont val="Arial MT"/>
        <family val="2"/>
      </rPr>
      <t>Nutrició Humana i Dietètica "EUSES" (Salt)</t>
    </r>
  </si>
  <si>
    <r>
      <rPr>
        <sz val="10"/>
        <rFont val="Arial MT"/>
        <family val="2"/>
      </rPr>
      <t>Nutrició Humana i Dietètica (Santa Coloma de Gramenet)</t>
    </r>
  </si>
  <si>
    <r>
      <rPr>
        <sz val="10"/>
        <rFont val="Arial MT"/>
        <family val="2"/>
      </rPr>
      <t>Nutrició Humana i Dietètica (Vic)</t>
    </r>
  </si>
  <si>
    <r>
      <rPr>
        <sz val="10"/>
        <rFont val="Arial MT"/>
        <family val="2"/>
      </rPr>
      <t>Odontologia (L'Hospitalet de Llobregat)</t>
    </r>
  </si>
  <si>
    <r>
      <rPr>
        <sz val="10"/>
        <rFont val="Arial MT"/>
        <family val="2"/>
      </rPr>
      <t>Odontologia (Manresa / Vic)</t>
    </r>
  </si>
  <si>
    <r>
      <rPr>
        <sz val="10"/>
        <rFont val="Arial MT"/>
        <family val="2"/>
      </rPr>
      <t>Òptica i Optometria (Terrassa)</t>
    </r>
  </si>
  <si>
    <r>
      <rPr>
        <sz val="10"/>
        <rFont val="Arial MT"/>
        <family val="2"/>
      </rPr>
      <t>Paisatgisme (Barcelona / Castelldefels)</t>
    </r>
  </si>
  <si>
    <r>
      <rPr>
        <sz val="10"/>
        <rFont val="Arial MT"/>
        <family val="2"/>
      </rPr>
      <t>Pedagogia (Barcelona)</t>
    </r>
  </si>
  <si>
    <r>
      <rPr>
        <sz val="10"/>
        <rFont val="Arial MT"/>
        <family val="2"/>
      </rPr>
      <t>Pedagogia (Cerdanyola del Vallès)</t>
    </r>
  </si>
  <si>
    <r>
      <rPr>
        <sz val="10"/>
        <rFont val="Arial MT"/>
        <family val="2"/>
      </rPr>
      <t>Pedagogia (Girona)</t>
    </r>
  </si>
  <si>
    <r>
      <rPr>
        <sz val="10"/>
        <rFont val="Arial MT"/>
        <family val="2"/>
      </rPr>
      <t>Pedagogia (Tarragona)</t>
    </r>
  </si>
  <si>
    <r>
      <rPr>
        <sz val="10"/>
        <rFont val="Arial MT"/>
        <family val="2"/>
      </rPr>
      <t>Periodisme (Barcelona)</t>
    </r>
  </si>
  <si>
    <r>
      <rPr>
        <sz val="10"/>
        <rFont val="Arial MT"/>
        <family val="2"/>
      </rPr>
      <t>Periodisme (Cerdanyola del Vallès)</t>
    </r>
  </si>
  <si>
    <r>
      <rPr>
        <sz val="10"/>
        <rFont val="Arial MT"/>
        <family val="2"/>
      </rPr>
      <t>Periodisme (Tarragona)</t>
    </r>
  </si>
  <si>
    <r>
      <rPr>
        <sz val="10"/>
        <rFont val="Arial MT"/>
        <family val="2"/>
      </rPr>
      <t>Periodisme (Vic)</t>
    </r>
  </si>
  <si>
    <r>
      <rPr>
        <sz val="10"/>
        <rFont val="Arial MT"/>
        <family val="2"/>
      </rPr>
      <t>Pilot d'Aviació Comercial i Operacions Aèries (Reus)</t>
    </r>
  </si>
  <si>
    <r>
      <rPr>
        <sz val="10"/>
        <rFont val="Arial MT"/>
        <family val="2"/>
      </rPr>
      <t>Podologia (L'Hospitalet de Llobregat)</t>
    </r>
  </si>
  <si>
    <r>
      <rPr>
        <sz val="10"/>
        <rFont val="Arial MT"/>
        <family val="2"/>
      </rPr>
      <t>Podologia (Campus Manresa) (Manresa)</t>
    </r>
  </si>
  <si>
    <r>
      <rPr>
        <sz val="10"/>
        <rFont val="Arial MT"/>
        <family val="2"/>
      </rPr>
      <t>Prevenció i Seguretat Integral (Cerdanyola del Vallès)</t>
    </r>
  </si>
  <si>
    <r>
      <rPr>
        <sz val="10"/>
        <rFont val="Arial MT"/>
        <family val="2"/>
      </rPr>
      <t>Prevenció i Seguretat Integral (en xarxa) (Cerdanyola del Vallès)</t>
    </r>
  </si>
  <si>
    <r>
      <rPr>
        <sz val="10"/>
        <rFont val="Arial MT"/>
        <family val="2"/>
      </rPr>
      <t>Producció de Música i So per a la Indústria de l'Entreteniment "ENTI" (Barcelona)</t>
    </r>
  </si>
  <si>
    <r>
      <rPr>
        <sz val="10"/>
        <rFont val="Arial MT"/>
        <family val="2"/>
      </rPr>
      <t>Psicologia (Barcelona)</t>
    </r>
  </si>
  <si>
    <r>
      <rPr>
        <sz val="10"/>
        <rFont val="Arial MT"/>
        <family val="2"/>
      </rPr>
      <t>Psicologia (Cerdanyola del Vallès)</t>
    </r>
  </si>
  <si>
    <r>
      <rPr>
        <sz val="10"/>
        <rFont val="Arial MT"/>
        <family val="2"/>
      </rPr>
      <t>Psicologia (Girona)</t>
    </r>
  </si>
  <si>
    <r>
      <rPr>
        <sz val="10"/>
        <rFont val="Arial MT"/>
        <family val="2"/>
      </rPr>
      <t>Psicologia (Lleida)</t>
    </r>
  </si>
  <si>
    <r>
      <rPr>
        <sz val="10"/>
        <rFont val="Arial MT"/>
        <family val="2"/>
      </rPr>
      <t>Psicologia (Tarragona)</t>
    </r>
  </si>
  <si>
    <r>
      <rPr>
        <sz val="10"/>
        <rFont val="Arial MT"/>
        <family val="2"/>
      </rPr>
      <t>Psicologia (Vic)</t>
    </r>
  </si>
  <si>
    <r>
      <rPr>
        <sz val="10"/>
        <rFont val="Arial MT"/>
        <family val="2"/>
      </rPr>
      <t>Publicitat i Relacions Públiques (Barcelona)</t>
    </r>
  </si>
  <si>
    <r>
      <rPr>
        <sz val="10"/>
        <rFont val="Arial MT"/>
        <family val="2"/>
      </rPr>
      <t>Publicitat i Relacions Públiques (Cerdanyola del Vallès)</t>
    </r>
  </si>
  <si>
    <r>
      <rPr>
        <sz val="10"/>
        <rFont val="Arial MT"/>
        <family val="2"/>
      </rPr>
      <t>Publicitat i Relacions Públiques (Girona)</t>
    </r>
  </si>
  <si>
    <r>
      <rPr>
        <sz val="10"/>
        <rFont val="Arial MT"/>
        <family val="2"/>
      </rPr>
      <t>Publicitat i Relacions Públiques (Tarragona)</t>
    </r>
  </si>
  <si>
    <r>
      <rPr>
        <sz val="10"/>
        <rFont val="Arial MT"/>
        <family val="2"/>
      </rPr>
      <t>Publicitat i Relacions Públiques (Vic)</t>
    </r>
  </si>
  <si>
    <r>
      <rPr>
        <sz val="10"/>
        <rFont val="Arial MT"/>
        <family val="2"/>
      </rPr>
      <t>Publicitat, Relacions Públiques i Màrqueting "ESRP" (Barcelona)</t>
    </r>
  </si>
  <si>
    <r>
      <rPr>
        <sz val="10"/>
        <rFont val="Arial MT"/>
        <family val="2"/>
      </rPr>
      <t>Química (Barcelona)</t>
    </r>
  </si>
  <si>
    <r>
      <rPr>
        <sz val="10"/>
        <rFont val="Arial MT"/>
        <family val="2"/>
      </rPr>
      <t>Química (Cerdanyola del Vallès)</t>
    </r>
  </si>
  <si>
    <r>
      <rPr>
        <sz val="10"/>
        <rFont val="Arial MT"/>
        <family val="2"/>
      </rPr>
      <t>Química (Girona)</t>
    </r>
  </si>
  <si>
    <r>
      <rPr>
        <sz val="10"/>
        <rFont val="Arial MT"/>
        <family val="2"/>
      </rPr>
      <t>Química (Tarragona)</t>
    </r>
  </si>
  <si>
    <r>
      <rPr>
        <sz val="10"/>
        <rFont val="Arial MT"/>
        <family val="2"/>
      </rPr>
      <t>Química (docència en Anglès) (Tarragona)</t>
    </r>
  </si>
  <si>
    <r>
      <rPr>
        <sz val="10"/>
        <rFont val="Arial MT"/>
        <family val="2"/>
      </rPr>
      <t>Relacions Internacionals (Cerdanyola del Vallès)</t>
    </r>
  </si>
  <si>
    <r>
      <rPr>
        <sz val="10"/>
        <rFont val="Arial MT"/>
        <family val="2"/>
      </rPr>
      <t>Relacions Laborals (Barcelona)</t>
    </r>
  </si>
  <si>
    <r>
      <rPr>
        <sz val="10"/>
        <rFont val="Arial MT"/>
        <family val="2"/>
      </rPr>
      <t>Relacions Laborals (Cerdanyola del Vallès)</t>
    </r>
  </si>
  <si>
    <r>
      <rPr>
        <sz val="10"/>
        <rFont val="Arial MT"/>
        <family val="2"/>
      </rPr>
      <t>Relacions Laborals i Recursos Humans</t>
    </r>
  </si>
  <si>
    <r>
      <rPr>
        <sz val="10"/>
        <rFont val="Arial MT"/>
        <family val="2"/>
      </rPr>
      <t>Relacions Laborals i Recursos Humans (Lleida)</t>
    </r>
  </si>
  <si>
    <r>
      <rPr>
        <sz val="10"/>
        <rFont val="Arial MT"/>
        <family val="2"/>
      </rPr>
      <t>Relacions Laborals i Recursos Humans (Tarragona)</t>
    </r>
  </si>
  <si>
    <r>
      <rPr>
        <sz val="10"/>
        <rFont val="Arial MT"/>
        <family val="2"/>
      </rPr>
      <t>Seguretat (Mollet del Vallès)</t>
    </r>
  </si>
  <si>
    <r>
      <rPr>
        <sz val="10"/>
        <rFont val="Arial MT"/>
        <family val="2"/>
      </rPr>
      <t>Sociologia (Barcelona)</t>
    </r>
  </si>
  <si>
    <r>
      <rPr>
        <sz val="10"/>
        <rFont val="Arial MT"/>
        <family val="2"/>
      </rPr>
      <t>Sociologia (Cerdanyola del Vallès)</t>
    </r>
  </si>
  <si>
    <r>
      <rPr>
        <sz val="10"/>
        <rFont val="Arial MT"/>
        <family val="2"/>
      </rPr>
      <t>Tecnologies Industrials i Anàlisi Econòmica, Grau en + Màster Universitari en</t>
    </r>
  </si>
  <si>
    <r>
      <rPr>
        <sz val="10"/>
        <rFont val="Arial MT"/>
        <family val="2"/>
      </rPr>
      <t>UPC / UPF</t>
    </r>
  </si>
  <si>
    <r>
      <rPr>
        <sz val="10"/>
        <rFont val="Arial MT"/>
        <family val="2"/>
      </rPr>
      <t>Enginyeria Industrial (PARS: Enginyer/a Industrial i Anàlisi Econòmica) (docència</t>
    </r>
  </si>
  <si>
    <r>
      <rPr>
        <sz val="10"/>
        <rFont val="Arial MT"/>
        <family val="2"/>
      </rPr>
      <t>en Anglès) (Barcelona)</t>
    </r>
  </si>
  <si>
    <r>
      <rPr>
        <sz val="10"/>
        <rFont val="Arial MT"/>
        <family val="2"/>
      </rPr>
      <t>Tecnologies Marines (Barcelona)</t>
    </r>
  </si>
  <si>
    <r>
      <rPr>
        <sz val="10"/>
        <rFont val="Arial MT"/>
        <family val="2"/>
      </rPr>
      <t>Teràpia Ocupacional EUIT de Terrassa (Terrassa)</t>
    </r>
  </si>
  <si>
    <r>
      <rPr>
        <sz val="10"/>
        <rFont val="Arial MT"/>
        <family val="2"/>
      </rPr>
      <t>Teràpia Ocupacional (presencial / semipresencial) (Vic)</t>
    </r>
  </si>
  <si>
    <r>
      <rPr>
        <sz val="10"/>
        <rFont val="Arial MT"/>
        <family val="2"/>
      </rPr>
      <t>Traducció i Interpretació -Alemany- (Cerdanyola del Vallès)</t>
    </r>
  </si>
  <si>
    <r>
      <rPr>
        <sz val="10"/>
        <rFont val="Arial MT"/>
        <family val="2"/>
      </rPr>
      <t xml:space="preserve">Traducció i Interpretació -Alemany / Francès / Llengua de Signes Catalana-
</t>
    </r>
    <r>
      <rPr>
        <sz val="10"/>
        <rFont val="Arial MT"/>
        <family val="2"/>
      </rPr>
      <t>(Barcelona)</t>
    </r>
  </si>
  <si>
    <r>
      <rPr>
        <sz val="10"/>
        <rFont val="Arial MT"/>
        <family val="2"/>
      </rPr>
      <t>Traducció i Interpretació -Anglès- (Barcelona)</t>
    </r>
  </si>
  <si>
    <r>
      <rPr>
        <sz val="10"/>
        <rFont val="Arial MT"/>
        <family val="2"/>
      </rPr>
      <t>Traducció i Interpretació -Anglès- (Cerdanyola del Vallès)</t>
    </r>
  </si>
  <si>
    <r>
      <rPr>
        <sz val="10"/>
        <rFont val="Arial MT"/>
        <family val="2"/>
      </rPr>
      <t>Traducció i Interpretació -Francès- (Cerdanyola del Vallès)</t>
    </r>
  </si>
  <si>
    <r>
      <rPr>
        <sz val="10"/>
        <rFont val="Arial MT"/>
        <family val="2"/>
      </rPr>
      <t>Treball Social (Barcelona)</t>
    </r>
  </si>
  <si>
    <r>
      <rPr>
        <sz val="10"/>
        <rFont val="Arial MT"/>
        <family val="2"/>
      </rPr>
      <t>Treball Social (Girona)</t>
    </r>
  </si>
  <si>
    <r>
      <rPr>
        <sz val="10"/>
        <rFont val="Arial MT"/>
        <family val="2"/>
      </rPr>
      <t>Treball Social (Lleida)</t>
    </r>
  </si>
  <si>
    <r>
      <rPr>
        <sz val="10"/>
        <rFont val="Arial MT"/>
        <family val="2"/>
      </rPr>
      <t>Treball Social (Tarragona)</t>
    </r>
  </si>
  <si>
    <r>
      <rPr>
        <sz val="10"/>
        <rFont val="Arial MT"/>
        <family val="2"/>
      </rPr>
      <t>Turisme "CETT" (Barcelona)</t>
    </r>
  </si>
  <si>
    <r>
      <rPr>
        <sz val="10"/>
        <rFont val="Arial MT"/>
        <family val="2"/>
      </rPr>
      <t>Turisme "CETT" (docència en Anglès) (Barcelona)</t>
    </r>
  </si>
  <si>
    <r>
      <rPr>
        <sz val="10"/>
        <rFont val="Arial MT"/>
        <family val="2"/>
      </rPr>
      <t>Turisme "Euroaula" (Barcelona)</t>
    </r>
  </si>
  <si>
    <r>
      <rPr>
        <sz val="10"/>
        <rFont val="Arial MT"/>
        <family val="2"/>
      </rPr>
      <t>Turisme "Mediterrani" (Barcelona)</t>
    </r>
  </si>
  <si>
    <r>
      <rPr>
        <sz val="10"/>
        <rFont val="Arial MT"/>
        <family val="2"/>
      </rPr>
      <t>Turisme (Cerdanyola del Vallès)</t>
    </r>
  </si>
  <si>
    <r>
      <rPr>
        <sz val="10"/>
        <rFont val="Arial MT"/>
        <family val="2"/>
      </rPr>
      <t>Turisme (docència en Anglès) (Cerdanyola del Vallès)</t>
    </r>
  </si>
  <si>
    <r>
      <rPr>
        <sz val="10"/>
        <rFont val="Arial MT"/>
        <family val="2"/>
      </rPr>
      <t>Turisme (Girona)</t>
    </r>
  </si>
  <si>
    <r>
      <rPr>
        <sz val="10"/>
        <rFont val="Arial MT"/>
        <family val="2"/>
      </rPr>
      <t>Turisme (Lleida)</t>
    </r>
  </si>
  <si>
    <r>
      <rPr>
        <sz val="10"/>
        <rFont val="Arial MT"/>
        <family val="2"/>
      </rPr>
      <t>Turisme / Geografia, Territori i Medi Ambient (simultaneïtat) (Girona)</t>
    </r>
  </si>
  <si>
    <r>
      <rPr>
        <sz val="10"/>
        <rFont val="Arial MT"/>
        <family val="2"/>
      </rPr>
      <t>Turisme / Màrqueting "Mediterrani" (simultaneïtat) (Barcelona)</t>
    </r>
  </si>
  <si>
    <r>
      <rPr>
        <sz val="10"/>
        <rFont val="Arial MT"/>
        <family val="2"/>
      </rPr>
      <t>Turisme / Publicitat i Relacions Públiques (simultaneïtat) (Girona)</t>
    </r>
  </si>
  <si>
    <r>
      <rPr>
        <sz val="10"/>
        <rFont val="Arial MT"/>
        <family val="2"/>
      </rPr>
      <t>Veterinària (Cerdanyola del Vallès)</t>
    </r>
  </si>
  <si>
    <t>Tecnologies Industrials i Anàlisi Econòmica (Barcelona)</t>
  </si>
  <si>
    <t>Enginyeria de l'Energia i Sostenibilitat / Enginyeria en Electrònica Industrial (Lleida)</t>
  </si>
  <si>
    <r>
      <rPr>
        <sz val="10"/>
        <rFont val="Arial MT"/>
        <family val="2"/>
      </rPr>
      <t>Enginyeria Electrònica Industrial i Automàtica / Enginyeria Mecànica / Enginyeria</t>
    </r>
    <r>
      <rPr>
        <sz val="10"/>
        <rFont val="Arial MT"/>
      </rPr>
      <t xml:space="preserve"> Química (Manresa)</t>
    </r>
  </si>
  <si>
    <r>
      <rPr>
        <sz val="10"/>
        <rFont val="Arial MT"/>
        <family val="2"/>
      </rPr>
      <t>Enginyeria de Sistemes Aeroespacials / Enginyeria de Sistemes de</t>
    </r>
    <r>
      <rPr>
        <sz val="10"/>
        <rFont val="Arial MT"/>
      </rPr>
      <t xml:space="preserve"> Telecomunicació (Castelldefels)</t>
    </r>
  </si>
  <si>
    <t>Enginyeria de Tecnologia i Disseny Tèxtil / Enginyeria Elèctrica (Terrassa)</t>
  </si>
  <si>
    <t>Enginyeria de Tecnologies i Serveis de Telecomunicació (Barcelona)</t>
  </si>
  <si>
    <t>Grau obert "CETT" (Direcció Hotelera Internacional / Màrqueting) (Barcelona)</t>
  </si>
  <si>
    <t>Traducció i Interpretació -Alemany / Francès / Llengua de Signes Catalana- (Barcelona)</t>
  </si>
  <si>
    <t>x</t>
  </si>
  <si>
    <t>Administració d'Empreses i Gestió de la Innovació "Tecnocampus" (docència en Anglès) (Mataró)</t>
  </si>
  <si>
    <t>Administració i Direcció d'Empreses (docència en Anglès) (Cerdanyola del Vallès)</t>
  </si>
  <si>
    <t>Administració d'Empreses i Gestió de la Innovació / Màrqueting i Comunitats Digitals "Tecnocampus" (simultaneïtat) (Mataró)</t>
  </si>
  <si>
    <t>Administració d'Empreses i Gestió de la Innovació / Turisme i Gestió del Lleure "Tecnocampus" (simultaneïtat) (Mataró)</t>
  </si>
  <si>
    <t>Administració i Direcció d'Empreses / Enginyeria en Organització Industrial i Logística (simultaneïtat) (Igualada)</t>
  </si>
  <si>
    <t>Administració i Direcció d'Empreses / Enginyeria en Tecnologies Industrials (simultaneïtat) (Girona)</t>
  </si>
  <si>
    <t>Administració i Direcció d'Empreses / Enginyeria Informàtica (simultaneïtat) (Lleida)</t>
  </si>
  <si>
    <t>Administració i Direcció d'Empreses / Finances i Comptabilitat (simultaneïtat) (Reus)</t>
  </si>
  <si>
    <t>Administració i Direcció d'Empreses / Màrqueting "ESIC" (simultaneïtat) (Reus / Barcelona)</t>
  </si>
  <si>
    <t>Administració i Direcció d'Empreses / Màrqueting "ESIC" (simultaneïtat) (Tortosa / Barcelona)</t>
  </si>
  <si>
    <t>Administració i Direcció d'Empreses i Transformació de Negocis "Centre Universitari EAE" (Barcelona)</t>
  </si>
  <si>
    <t>Ciència Política i Gestió Pública / Sociologia (simultaneïtat) (Cerdanyola del Vallès)</t>
  </si>
  <si>
    <t>Ciències de l'Activitat Física i de l'Esport / Educació Primària (simultaneïtat) (Lleida)</t>
  </si>
  <si>
    <t>Ciències de l'Activitat Física i de l'Esport / Educació Primària (menció en Educació Física) (simultaneïtat) (Vic)</t>
  </si>
  <si>
    <t>Ciències de l'Activitat Física i de l'Esport / Fisioteràpia "Tecnocampus" (simultaneïtat) (Mataró)</t>
  </si>
  <si>
    <t>Ciències de l'Activitat Física i de l'Esport / Fisioteràpia "EUSES" (simultaneïtat) (Salt)</t>
  </si>
  <si>
    <t>Ciències de l'Activitat Física i de l'Esport / Fisioteràpia "EUSES" (simultaneïtat) (Amposta / Tortosa)</t>
  </si>
  <si>
    <t>Comunicació Audiovisual / Gestió d'Informació i Documentació Digital (simultaneïtat) (Barcelona)</t>
  </si>
  <si>
    <t>Criminologia i Polítiques Públiques de Prevenció / Dret (simultaneïtat) (Barcelona)</t>
  </si>
  <si>
    <t>Direcció i Gestió Gastronòmica "Barcelona Culinary Hub" (L'Hospitalet de Llobregat)</t>
  </si>
  <si>
    <t>Disseny i Desenvolupament de Videojocs (docència en Anglès) (Campus Barcelona) (Barcelona / Terrassa)</t>
  </si>
  <si>
    <t>Disseny i Desenvolupament de Videojocs (Campus Terrassa) (Barcelona / Terrassa)</t>
  </si>
  <si>
    <t>Disseny i Producció de Videojocs / Enginyeria Informàtica de Gestió i Sistemes d'Informació "Tecnocampus" (simultaneïtat) (Mataró)</t>
  </si>
  <si>
    <t>Dret / Administració i Direcció d'Empreses - Economia (agrupació de simultaneïtat) (Barcelona)</t>
  </si>
  <si>
    <t>Economia / Matemàtica Computacional i Analítica de Dades (simultaneïtat) (Cerdanyola del Vallès)</t>
  </si>
  <si>
    <t>Educació Infantil / Educació Primària (pla de millora de la formació inicial de Mestre - 5 anys) (simultaneïtat) (Barcelona)</t>
  </si>
  <si>
    <t>Educació Infantil / Educació Primària (pla de millora de la formació inicial de Mestre - 5 anys) (simultaneïtat) (Cerdanyola del Vallès)</t>
  </si>
  <si>
    <t>Educació Infantil / Educació Primària (pla de millora de la formació inicial de Mestre - 5 anys) (simultaneïtat) (Girona)</t>
  </si>
  <si>
    <t>Educació Infantil / Educació Primària (pla de millora de la formació inicial de Mestre - 5 anys) (simultaneïtat) (Lleida)</t>
  </si>
  <si>
    <t>Educació Infantil / Educació Primària (pla de millora de la formació inicial de Mestre - 5 anys) (simultaneïtat) (Tortosa)</t>
  </si>
  <si>
    <t>Educació Infantil / Educació Primària (pla de millora de la formació inicial de Mestre - 5 anys) (simultaneïtat) (Tarragona)</t>
  </si>
  <si>
    <t>Educació Infantil / Educació Primària (pla de millora de la formació inicial de Mestre - 5 anys) (menció en Llengua Anglesa) (simultaneïtat) (Vic)</t>
  </si>
  <si>
    <t>Empresa, Innovació i Tecnologia "EUNCET" (Campus 22@) (presencial) (Barcelona)</t>
  </si>
  <si>
    <t>Empresa, Innovació i Tecnologia "EUNCET" (Campus 22@) (semipresencial) (Barcelona)</t>
  </si>
  <si>
    <t>Empresa, Innovació i Tecnologia "EUNCET" (Campus Terrassa) (presencial) (Terrassa)</t>
  </si>
  <si>
    <t>Empresa, Innovació i Tecnologia "EUNCET" (Campus Terrassa) (semipresencial) (Terrassa)</t>
  </si>
  <si>
    <t>Empresa, Innovació i Tecnologia / Gestió i Digitalització en l'Esport "EUNCET" (Campus Can Dragó + Campus 22@) (presencial) (simultaneïtat) (Barcelona)</t>
  </si>
  <si>
    <t>Empresa, Innovació i Tecnologia / Màrqueting, Innovació i Tecnologia "EUNCET" (Campus 22@) (presencial) (simultaneïtat) (Barcelona)</t>
  </si>
  <si>
    <t>Empresa, Innovació i Tecnologia / Màrqueting, Innovació i Tecnologia "EUNCET" (Campus Terrassa) (presencial) (simultaneïtat) (Terrassa)</t>
  </si>
  <si>
    <t>Enginyeria Biomèdica / Enginyeria de Sistemes i Serveis de Telecomunicacions (simultaneïtat) (Tarragona)</t>
  </si>
  <si>
    <t>Enginyeria Civil, Grau en + Màster universitari en Enginyeria de Camins, Canals i Ports (PARS: Enginyer/a de Camins, Canals i Ports) (Barcelona)</t>
  </si>
  <si>
    <t>Enginyeria de Disseny Industrial i Desenvolupament del Producte (Vilanova i la Geltrú)</t>
  </si>
  <si>
    <t>Enginyeria de l'Energia i Sostenibilitat / Enginyeria en Electrònica Industrial i Automàtica / Enginyeria Mecànica (agrupació) (Lleida)</t>
  </si>
  <si>
    <t>Enginyeria de l'Energia i Sostenibilitat / Enginyeria Mecànica (simultaneïtat) (Lleida)</t>
  </si>
  <si>
    <t>Enginyeria de Sistemes de Telecomunicació / Enginyeria Electrònica de Telecomunicació (agrupació) (Cerdanyola del Vallès)</t>
  </si>
  <si>
    <t>Enginyeria de Sistemes de Telecomunicació / Enginyeria Informàtica (simultaneïtat) (Cerdanyola del Vallès)</t>
  </si>
  <si>
    <t>Enginyeria de Sistemes de Telecomunicació / Enginyeria Telemàtica (inclou xarxes i Internet) (agrupació) (Castelldefels)</t>
  </si>
  <si>
    <t>Enginyeria de Sistemes de Telecomunicació / Enginyeria Telemàtica (inclou xarxes i Internet) (febrer) (agrupació) (Castelldefels)</t>
  </si>
  <si>
    <t>Enginyeria d'Organització Industrial / Enginyeria Electrònica Industrial i Automàtica / Enginyeria Mecànica "Tecnocampus" (agrupació) (Mataró)</t>
  </si>
  <si>
    <t>Enginyeria Elèctrica / Enginyeria Electrònica Industrial i Automàtica (simultaneïtat) (Girona)</t>
  </si>
  <si>
    <t>Enginyeria Elèctrica / Enginyeria Electrònica Industrial i Automàtica (simultaneïtat) (Tarragona)</t>
  </si>
  <si>
    <t>Enginyeria Elèctrica i Sistemes Ferroviaris / Enginyeria Electrònica Industrial i Automàtica / Enginyeria Mecànica (agrupació) (Vilanova i la Geltrú)</t>
  </si>
  <si>
    <t>Enginyeria Electrònica de Telecomunicació / Enginyeria Informàtica (simultaneïtat) (Cerdanyola del Vallès)</t>
  </si>
  <si>
    <t>Enginyeria Electrònica Industrial i Automàtica "EU Salesiana de Sarrià" (Barcelona)</t>
  </si>
  <si>
    <t>Enginyeria Electrònica Industrial i Automàtica (Tarragona)</t>
  </si>
  <si>
    <t>Enginyeria Electrònica Industrial i Automàtica / Enginyeria Mecànica "EU Salesiana de Sarrià" (simultaneïtat) (Barcelona)</t>
  </si>
  <si>
    <t>Enginyeria en Energies Renovables i Eficiència Energètica "EU Salesiana de Sarrià" (Barcelona)</t>
  </si>
  <si>
    <t>Enginyeria en Organització Industrial i Logística / Enginyeria Química (agrupació) (Igualada)</t>
  </si>
  <si>
    <t>Enginyeria en Tecnologies Aeroespacials, Grau en + Màster Universitari en Enginyeria Aeronàutica (PARS: Enginyer/a Aeronàutic/a) (Terrassa)</t>
  </si>
  <si>
    <t>Enginyeria en Tecnologies Industrials, Grau en + Màster Universitari en Enginyeria Industrial (PARS: Enginyer/a en Tecnologies Industrials) (Girona)</t>
  </si>
  <si>
    <t>Enginyeria en Tecnologies Industrials, Grau en + Màster Universitari en Enginyeria Industrial (PARS: Enginyer/a Industrial) (Terrassa)</t>
  </si>
  <si>
    <t>Enginyeria en Tecnologies Industrials, Grau en + Màster Universitari en Enginyeria Industrial (PARS: Enginyer/a Industrial) (Barcelona)</t>
  </si>
  <si>
    <t>Enginyeria Informàtica, Grau en + Màster Universitari en Enginyeria Informàtica (PARS: Enginyer/a Informàtic/a) (Barcelona)</t>
  </si>
  <si>
    <t>Enginyeria Informàtica, Grau en + Màster Universitari en Enginyeria Informàtica (PARS: Enginyer/a Informàtic/a) (Lleida)</t>
  </si>
  <si>
    <t>Enginyeria Informàtica de Gestió i Sistemes d'Informació "Tecnocampus"(Mataró)</t>
  </si>
  <si>
    <t>Enginyeria Matemàtica en Ciència de Dades (Barcelona)</t>
  </si>
  <si>
    <t>Estudis Globals / Global Studies (docència en Anglès) / Turisme (simultaneïtat) (Girona)</t>
  </si>
  <si>
    <t>Estudis Internacionals d'Economia i Empresa - International Business Economics (docència en Anglès) (Barcelona)</t>
  </si>
  <si>
    <t>Estudis Socioculturals de Gènere (Cerdanyola del Vallès)</t>
  </si>
  <si>
    <t>Farmàcia / Nutrició Humana i Dietètica (simultaneïtat) (Barcelona / Santa Coloma de Gramenet)</t>
  </si>
  <si>
    <t>Filologia Catalana i Estudis Occitans / Llengües Aplicades i Traducció (simultaneïtat) (Lleida)</t>
  </si>
  <si>
    <t>Filologia Catalana / Filologia Hispànica (simultaneïtat) (Girona)</t>
  </si>
  <si>
    <t>Fisioteràpia (docència en Anglès) (només per a estudiants sense nacionalitat espanyola ni residència a l'Estat Espanyol) (L'Hospitalet de Llobregat)</t>
  </si>
  <si>
    <t>Gestió i Digitalització en l'Esport / Màrqueting, Innovació i Tecnologia "EUNCET" (Campus Can Dragó + Campus 22@) (presencial) (simultaneïtat) (Barcelona)</t>
  </si>
  <si>
    <t>Llengües Aplicades / Traducció i Interpretació -Anglès- (simultaneïtat) (Barcelona)</t>
  </si>
  <si>
    <t>Màrqueting i Comunitats Digitals / Turisme i Gestió del Lleure "Tecnocampus" (simultaneïtat) (Mataró)</t>
  </si>
  <si>
    <t>Màrqueting, Innovació i Tecnologia "EUNCET" (Campus 22@) (presencial)(Barcelona)</t>
  </si>
  <si>
    <t>Màrqueting, Innovació i Tecnologia "EUNCET" (Campus 22@) (semipresencial) (Barcelona)</t>
  </si>
  <si>
    <t>Màrqueting, Innovació i Tecnologia "EUNCET" (Campus Terrassa) (presencial) (Terrassa)</t>
  </si>
  <si>
    <t>Màrqueting, Innovació i Tecnologia "EUNCET" (Campus Terrassa) (semipresencial) (Terrassa)</t>
  </si>
  <si>
    <t>Negoci Digital i Innovació en Turisme / Turisme "CETT" (simultaneïtat) (Barcelona)</t>
  </si>
  <si>
    <t>Negocis i Màrqueting Internacionals - Bachelor in International Business and Marketing "ESCI" (Barcelona)</t>
  </si>
  <si>
    <t>Negocis i Màrqueting Internacionals - Bachelor in International Business and Marketing "ESCI" (docència en anglès) (Barcelona)</t>
  </si>
  <si>
    <t>Fisioteràpia (docència en Anglès) (només per a estudiants espanyols o estrangers amb residència) (L'Hospitalet de Llobregat)</t>
  </si>
  <si>
    <t>Intel·ligència Artificial / Artificial Intelligence (docència en Anglès) (Cerdanyola del Vallès)</t>
  </si>
  <si>
    <r>
      <rPr>
        <sz val="10"/>
        <rFont val="Arial MT"/>
        <family val="2"/>
      </rPr>
      <t>Relacions Laborals i Recursos Humans</t>
    </r>
    <r>
      <rPr>
        <sz val="10"/>
        <rFont val="Arial MT"/>
      </rPr>
      <t xml:space="preserve"> (Barcelona)</t>
    </r>
  </si>
  <si>
    <t>Mataró</t>
  </si>
  <si>
    <t>Barcelona</t>
  </si>
  <si>
    <t>Cerdanyola del Vallès</t>
  </si>
  <si>
    <t>Girona</t>
  </si>
  <si>
    <t>Igualada</t>
  </si>
  <si>
    <t>Lleida</t>
  </si>
  <si>
    <t>Manresa</t>
  </si>
  <si>
    <t>Reus</t>
  </si>
  <si>
    <t>Tortosa</t>
  </si>
  <si>
    <t>Vic</t>
  </si>
  <si>
    <t>Tarragona / Reus</t>
  </si>
  <si>
    <t>Reus / Barcelona</t>
  </si>
  <si>
    <t>Tortosa / Barcelona</t>
  </si>
  <si>
    <t>Tarragona</t>
  </si>
  <si>
    <t>Sant Cugat del Vallès</t>
  </si>
  <si>
    <t>Salt</t>
  </si>
  <si>
    <t>Barcelona / Cerdanyola del Vallès</t>
  </si>
  <si>
    <t>Santa Coloma de Gramenet</t>
  </si>
  <si>
    <t>Barcelona / L'Hospitalet de Llobregat</t>
  </si>
  <si>
    <t>Amposta</t>
  </si>
  <si>
    <t>La Seu d'Urgell</t>
  </si>
  <si>
    <t>Amposta / Tortosa</t>
  </si>
  <si>
    <t>Castelldefels / Barcelona / Vilanova i la Geltrú</t>
  </si>
  <si>
    <t>Terrassa</t>
  </si>
  <si>
    <t>Sabadell</t>
  </si>
  <si>
    <t>Sant Pol de Mar</t>
  </si>
  <si>
    <t>L'Hospitalet de Llobregat</t>
  </si>
  <si>
    <t>Barcelona / Terrassa</t>
  </si>
  <si>
    <t>Castelldefels</t>
  </si>
  <si>
    <t>Castelldefels / Barcelona</t>
  </si>
  <si>
    <t>Barcelona / Sant Adrià de Besòs</t>
  </si>
  <si>
    <t>Manresa / Barcelona</t>
  </si>
  <si>
    <t>Vilanova i la Geltrú</t>
  </si>
  <si>
    <t>Granollers</t>
  </si>
  <si>
    <t>Barcelona / Santa Coloma de Gramenet</t>
  </si>
  <si>
    <t>Cerdanyola del Vallès / Barcelona</t>
  </si>
  <si>
    <t>Vila-Seca</t>
  </si>
  <si>
    <t>Sant Boi de Llobregat</t>
  </si>
  <si>
    <t>Tremp</t>
  </si>
  <si>
    <t>Vilafranca del Penedès / el Vendrell</t>
  </si>
  <si>
    <t>Girona / Salt</t>
  </si>
  <si>
    <t>Manresa / Vic</t>
  </si>
  <si>
    <t>Barcelona / Castelldefels</t>
  </si>
  <si>
    <t>Mollet del Vallès</t>
  </si>
  <si>
    <t>Infermeria (El Vendrell)</t>
  </si>
  <si>
    <t>El Vendrell</t>
  </si>
  <si>
    <t xml:space="preserve"> </t>
  </si>
  <si>
    <t>Province</t>
  </si>
  <si>
    <t>Barcelona​</t>
  </si>
  <si>
    <t>Girona​</t>
  </si>
  <si>
    <t>Lleida​</t>
  </si>
  <si>
    <t>Tarragona​</t>
  </si>
  <si>
    <t>Unique Regions from Table 1 - Column E</t>
  </si>
  <si>
    <t>Back-up &gt;&gt;&gt;</t>
  </si>
  <si>
    <t>X</t>
  </si>
  <si>
    <t>PAU</t>
  </si>
  <si>
    <t>Location</t>
  </si>
  <si>
    <t>University</t>
  </si>
  <si>
    <t>Degree</t>
  </si>
  <si>
    <t>Code</t>
  </si>
  <si>
    <t>&gt;25 Years Old</t>
  </si>
  <si>
    <t>&gt;45 Years Old</t>
  </si>
  <si>
    <t>Degree Holders</t>
  </si>
  <si>
    <t>Field</t>
  </si>
  <si>
    <t>Arquitectura (Girona)</t>
  </si>
  <si>
    <t>Arquitectura (Reus)</t>
  </si>
  <si>
    <t>Arquitectura (Sant Cugat del Vallès)</t>
  </si>
  <si>
    <t>Arquitectura (Barcelona)</t>
  </si>
  <si>
    <t>Keyword</t>
  </si>
  <si>
    <t>Enginyeria</t>
  </si>
  <si>
    <t>Engineering and Architecture</t>
  </si>
  <si>
    <t>Arquitectura</t>
  </si>
  <si>
    <t>Química</t>
  </si>
  <si>
    <t>Sciences</t>
  </si>
  <si>
    <t>Biologia</t>
  </si>
  <si>
    <t>Ciències Ambientals</t>
  </si>
  <si>
    <t>Matemàtiques</t>
  </si>
  <si>
    <t>Física</t>
  </si>
  <si>
    <t>Empresa</t>
  </si>
  <si>
    <t>Social Sciences and Law</t>
  </si>
  <si>
    <t>Administració</t>
  </si>
  <si>
    <t>Economia</t>
  </si>
  <si>
    <t>Dret</t>
  </si>
  <si>
    <t>Turisme</t>
  </si>
  <si>
    <t>Psicologia</t>
  </si>
  <si>
    <t>Health Sciences</t>
  </si>
  <si>
    <t>Medicina</t>
  </si>
  <si>
    <t>Infermeria</t>
  </si>
  <si>
    <t>Fisioteràpia</t>
  </si>
  <si>
    <t>Veterinària</t>
  </si>
  <si>
    <t>Farmàcia</t>
  </si>
  <si>
    <t>Humanitats</t>
  </si>
  <si>
    <t>Arts and Humanities</t>
  </si>
  <si>
    <t>Història</t>
  </si>
  <si>
    <t>Filologia</t>
  </si>
  <si>
    <t>Arts</t>
  </si>
  <si>
    <t>Educació</t>
  </si>
  <si>
    <t>Pedagogia</t>
  </si>
  <si>
    <t>Comunicació</t>
  </si>
  <si>
    <t>Màrqueting</t>
  </si>
  <si>
    <t>Sociologia</t>
  </si>
  <si>
    <t>Logopèdia</t>
  </si>
  <si>
    <t>Publicitat</t>
  </si>
  <si>
    <t>Musicologia</t>
  </si>
  <si>
    <t>Traducció</t>
  </si>
  <si>
    <t>Administració i Direcció d'Empreses / Química (simultaneïtat) (Barcelona)</t>
  </si>
  <si>
    <t>(simultaneïtat)</t>
  </si>
  <si>
    <t>Double Degree</t>
  </si>
  <si>
    <t>Treball</t>
  </si>
  <si>
    <t>Batxillerat</t>
  </si>
  <si>
    <t>High-School Specialization</t>
  </si>
  <si>
    <t>Science and Technology</t>
  </si>
  <si>
    <t>Social Sciences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</si>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</sst>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b/>
      <sz val="11"/>
      <color rgb="FFFFFFFF"/>
      <name val="Arial"/>
      <family val="2"/>
    </font>
    <font>
      <b/>
      <i/>
      <sz val="10"/>
      <color rgb="FFFFFFFF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 Unicode MS"/>
      <family val="2"/>
    </font>
    <font>
      <b/>
      <sz val="10"/>
      <color theme="0"/>
      <name val="Arial"/>
      <family val="2"/>
    </font>
    <font>
      <b/>
      <sz val="30"/>
      <color theme="0"/>
      <name val="Arial"/>
      <family val="2"/>
    </font>
    <font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C0C0C0"/>
      </patternFill>
    </fill>
    <fill>
      <patternFill patternType="solid">
        <f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1" fontId="4" fillId="0" borderId="2" xfId="0" applyNumberFormat="1" applyFont="1" applyBorder="1" applyAlignment="1">
      <alignment horizontal="right" vertical="top" shrinkToFit="1"/>
    </xf>
    <xf numFmtId="0" fontId="5" fillId="0" borderId="2" xfId="0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center" vertical="top" shrinkToFit="1"/>
    </xf>
    <xf numFmtId="3" fontId="4" fillId="0" borderId="0" xfId="0" applyNumberFormat="1" applyFont="1" applyAlignment="1">
      <alignment horizontal="center" vertical="top" shrinkToFit="1"/>
    </xf>
    <xf numFmtId="1" fontId="4" fillId="0" borderId="1" xfId="0" applyNumberFormat="1" applyFont="1" applyBorder="1" applyAlignment="1">
      <alignment vertical="top" shrinkToFit="1"/>
    </xf>
    <xf numFmtId="0" fontId="5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" fontId="4" fillId="0" borderId="4" xfId="0" applyNumberFormat="1" applyFont="1" applyBorder="1" applyAlignment="1">
      <alignment vertical="top" shrinkToFit="1"/>
    </xf>
    <xf numFmtId="3" fontId="4" fillId="0" borderId="4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Continuous" vertical="center" wrapText="1"/>
    </xf>
    <xf numFmtId="0" fontId="2" fillId="3" borderId="2" xfId="0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49" fontId="5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0" borderId="12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Continuous" vertical="center" wrapText="1"/>
    </xf>
    <xf numFmtId="0" fontId="2" fillId="3" borderId="13" xfId="0" applyFont="1" applyFill="1" applyBorder="1" applyAlignment="1">
      <alignment horizontal="centerContinuous" vertical="center" wrapText="1"/>
    </xf>
    <xf numFmtId="0" fontId="1" fillId="2" borderId="14" xfId="0" applyFont="1" applyFill="1" applyBorder="1" applyAlignment="1">
      <alignment horizontal="centerContinuous" vertical="center" wrapText="1"/>
    </xf>
    <xf numFmtId="0" fontId="0" fillId="5" borderId="0" xfId="0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7" fillId="4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4" borderId="1" xfId="0" quotePrefix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top" wrapText="1"/>
    </xf>
    <xf numFmtId="0" fontId="11" fillId="0" borderId="16" xfId="0" applyFont="1" applyBorder="1" applyAlignment="1">
      <alignment horizontal="left" vertical="top"/>
    </xf>
    <xf numFmtId="0" fontId="13" fillId="5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0" xfId="0" applyFont="1" applyAlignment="1">
      <alignment horizontal="left" vertical="top"/>
    </xf>
    <xf numFmtId="0" fontId="7" fillId="7" borderId="10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top" shrinkToFit="1"/>
    </xf>
    <xf numFmtId="3" fontId="4" fillId="0" borderId="3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" fontId="4" fillId="0" borderId="4" xfId="0" applyNumberFormat="1" applyFont="1" applyBorder="1" applyAlignment="1">
      <alignment horizontal="left" vertical="center" shrinkToFit="1"/>
    </xf>
    <xf numFmtId="1" fontId="4" fillId="0" borderId="5" xfId="0" applyNumberFormat="1" applyFont="1" applyBorder="1" applyAlignment="1">
      <alignment horizontal="left" vertical="center" shrinkToFit="1"/>
    </xf>
    <xf numFmtId="1" fontId="4" fillId="0" borderId="6" xfId="0" applyNumberFormat="1" applyFont="1" applyBorder="1" applyAlignment="1">
      <alignment horizontal="left" vertical="center" shrinkToFit="1"/>
    </xf>
    <xf numFmtId="1" fontId="4" fillId="0" borderId="7" xfId="0" applyNumberFormat="1" applyFont="1" applyBorder="1" applyAlignment="1">
      <alignment horizontal="left" vertical="center" shrinkToFit="1"/>
    </xf>
    <xf numFmtId="1" fontId="4" fillId="0" borderId="8" xfId="0" applyNumberFormat="1" applyFont="1" applyBorder="1" applyAlignment="1">
      <alignment horizontal="left" vertical="center" shrinkToFit="1"/>
    </xf>
    <xf numFmtId="1" fontId="4" fillId="0" borderId="9" xfId="0" applyNumberFormat="1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3" fontId="4" fillId="0" borderId="4" xfId="0" applyNumberFormat="1" applyFont="1" applyBorder="1" applyAlignment="1">
      <alignment horizontal="left" vertical="center" indent="2" shrinkToFit="1"/>
    </xf>
    <xf numFmtId="3" fontId="4" fillId="0" borderId="5" xfId="0" applyNumberFormat="1" applyFont="1" applyBorder="1" applyAlignment="1">
      <alignment horizontal="left" vertical="center" indent="2" shrinkToFit="1"/>
    </xf>
    <xf numFmtId="3" fontId="4" fillId="0" borderId="6" xfId="0" applyNumberFormat="1" applyFont="1" applyBorder="1" applyAlignment="1">
      <alignment horizontal="left" vertical="center" indent="2" shrinkToFit="1"/>
    </xf>
    <xf numFmtId="3" fontId="4" fillId="0" borderId="7" xfId="0" applyNumberFormat="1" applyFont="1" applyBorder="1" applyAlignment="1">
      <alignment horizontal="left" vertical="center" indent="2" shrinkToFit="1"/>
    </xf>
    <xf numFmtId="3" fontId="4" fillId="0" borderId="8" xfId="0" applyNumberFormat="1" applyFont="1" applyBorder="1" applyAlignment="1">
      <alignment horizontal="left" vertical="center" indent="2" shrinkToFit="1"/>
    </xf>
    <xf numFmtId="3" fontId="4" fillId="0" borderId="9" xfId="0" applyNumberFormat="1" applyFont="1" applyBorder="1" applyAlignment="1">
      <alignment horizontal="left" vertical="center" indent="2" shrinkToFit="1"/>
    </xf>
    <xf numFmtId="3" fontId="4" fillId="0" borderId="4" xfId="0" applyNumberFormat="1" applyFont="1" applyBorder="1" applyAlignment="1">
      <alignment horizontal="left" vertical="center" indent="3" shrinkToFit="1"/>
    </xf>
    <xf numFmtId="3" fontId="4" fillId="0" borderId="5" xfId="0" applyNumberFormat="1" applyFont="1" applyBorder="1" applyAlignment="1">
      <alignment horizontal="left" vertical="center" indent="3" shrinkToFit="1"/>
    </xf>
    <xf numFmtId="3" fontId="4" fillId="0" borderId="6" xfId="0" applyNumberFormat="1" applyFont="1" applyBorder="1" applyAlignment="1">
      <alignment horizontal="left" vertical="center" indent="3" shrinkToFit="1"/>
    </xf>
    <xf numFmtId="3" fontId="4" fillId="0" borderId="7" xfId="0" applyNumberFormat="1" applyFont="1" applyBorder="1" applyAlignment="1">
      <alignment horizontal="left" vertical="center" indent="3" shrinkToFit="1"/>
    </xf>
    <xf numFmtId="3" fontId="4" fillId="0" borderId="8" xfId="0" applyNumberFormat="1" applyFont="1" applyBorder="1" applyAlignment="1">
      <alignment horizontal="left" vertical="center" indent="3" shrinkToFit="1"/>
    </xf>
    <xf numFmtId="3" fontId="4" fillId="0" borderId="9" xfId="0" applyNumberFormat="1" applyFont="1" applyBorder="1" applyAlignment="1">
      <alignment horizontal="left" vertical="center" indent="3" shrinkToFi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 indent="13"/>
    </xf>
    <xf numFmtId="0" fontId="3" fillId="4" borderId="2" xfId="0" applyFont="1" applyFill="1" applyBorder="1" applyAlignment="1">
      <alignment horizontal="left" vertical="top" wrapText="1" indent="2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2"/>
    </xf>
    <xf numFmtId="0" fontId="5" fillId="0" borderId="7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left" vertical="center" wrapText="1" indent="2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" fontId="4" fillId="0" borderId="4" xfId="0" applyNumberFormat="1" applyFont="1" applyBorder="1" applyAlignment="1">
      <alignment horizontal="left" vertical="top" shrinkToFit="1"/>
    </xf>
    <xf numFmtId="1" fontId="4" fillId="0" borderId="5" xfId="0" applyNumberFormat="1" applyFont="1" applyBorder="1" applyAlignment="1">
      <alignment horizontal="left" vertical="top" shrinkToFit="1"/>
    </xf>
    <xf numFmtId="1" fontId="4" fillId="0" borderId="6" xfId="0" applyNumberFormat="1" applyFont="1" applyBorder="1" applyAlignment="1">
      <alignment horizontal="left" vertical="top" shrinkToFit="1"/>
    </xf>
    <xf numFmtId="1" fontId="4" fillId="0" borderId="7" xfId="0" applyNumberFormat="1" applyFont="1" applyBorder="1" applyAlignment="1">
      <alignment horizontal="left" vertical="top" shrinkToFit="1"/>
    </xf>
    <xf numFmtId="1" fontId="4" fillId="0" borderId="8" xfId="0" applyNumberFormat="1" applyFont="1" applyBorder="1" applyAlignment="1">
      <alignment horizontal="left" vertical="top" shrinkToFit="1"/>
    </xf>
    <xf numFmtId="1" fontId="4" fillId="0" borderId="9" xfId="0" applyNumberFormat="1" applyFont="1" applyBorder="1" applyAlignment="1">
      <alignment horizontal="left" vertical="top" shrinkToFit="1"/>
    </xf>
    <xf numFmtId="0" fontId="5" fillId="0" borderId="4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left" vertical="top" wrapText="1" indent="2"/>
    </xf>
    <xf numFmtId="3" fontId="4" fillId="0" borderId="4" xfId="0" applyNumberFormat="1" applyFont="1" applyBorder="1" applyAlignment="1">
      <alignment horizontal="left" vertical="top" indent="2" shrinkToFit="1"/>
    </xf>
    <xf numFmtId="3" fontId="4" fillId="0" borderId="5" xfId="0" applyNumberFormat="1" applyFont="1" applyBorder="1" applyAlignment="1">
      <alignment horizontal="left" vertical="top" indent="2" shrinkToFit="1"/>
    </xf>
    <xf numFmtId="3" fontId="4" fillId="0" borderId="6" xfId="0" applyNumberFormat="1" applyFont="1" applyBorder="1" applyAlignment="1">
      <alignment horizontal="left" vertical="top" indent="2" shrinkToFit="1"/>
    </xf>
    <xf numFmtId="3" fontId="4" fillId="0" borderId="7" xfId="0" applyNumberFormat="1" applyFont="1" applyBorder="1" applyAlignment="1">
      <alignment horizontal="left" vertical="top" indent="2" shrinkToFit="1"/>
    </xf>
    <xf numFmtId="3" fontId="4" fillId="0" borderId="8" xfId="0" applyNumberFormat="1" applyFont="1" applyBorder="1" applyAlignment="1">
      <alignment horizontal="left" vertical="top" indent="2" shrinkToFit="1"/>
    </xf>
    <xf numFmtId="3" fontId="4" fillId="0" borderId="9" xfId="0" applyNumberFormat="1" applyFont="1" applyBorder="1" applyAlignment="1">
      <alignment horizontal="left" vertical="top" indent="2" shrinkToFit="1"/>
    </xf>
    <xf numFmtId="3" fontId="4" fillId="0" borderId="4" xfId="0" applyNumberFormat="1" applyFont="1" applyBorder="1" applyAlignment="1">
      <alignment horizontal="left" vertical="top" indent="3" shrinkToFit="1"/>
    </xf>
    <xf numFmtId="3" fontId="4" fillId="0" borderId="5" xfId="0" applyNumberFormat="1" applyFont="1" applyBorder="1" applyAlignment="1">
      <alignment horizontal="left" vertical="top" indent="3" shrinkToFit="1"/>
    </xf>
    <xf numFmtId="3" fontId="4" fillId="0" borderId="6" xfId="0" applyNumberFormat="1" applyFont="1" applyBorder="1" applyAlignment="1">
      <alignment horizontal="left" vertical="top" indent="3" shrinkToFit="1"/>
    </xf>
    <xf numFmtId="3" fontId="4" fillId="0" borderId="7" xfId="0" applyNumberFormat="1" applyFont="1" applyBorder="1" applyAlignment="1">
      <alignment horizontal="left" vertical="top" indent="3" shrinkToFit="1"/>
    </xf>
    <xf numFmtId="3" fontId="4" fillId="0" borderId="8" xfId="0" applyNumberFormat="1" applyFont="1" applyBorder="1" applyAlignment="1">
      <alignment horizontal="left" vertical="top" indent="3" shrinkToFit="1"/>
    </xf>
    <xf numFmtId="3" fontId="4" fillId="0" borderId="9" xfId="0" applyNumberFormat="1" applyFont="1" applyBorder="1" applyAlignment="1">
      <alignment horizontal="left" vertical="top" indent="3" shrinkToFi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3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 indent="13"/>
    </xf>
    <xf numFmtId="0" fontId="3" fillId="4" borderId="3" xfId="0" applyFont="1" applyFill="1" applyBorder="1" applyAlignment="1">
      <alignment horizontal="left" vertical="top" wrapText="1" indent="13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3" xfId="0" applyFont="1" applyFill="1" applyBorder="1" applyAlignment="1">
      <alignment horizontal="left" vertical="top" wrapText="1" indent="2"/>
    </xf>
    <xf numFmtId="1" fontId="4" fillId="0" borderId="1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2578100" cy="45694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578100" cy="4569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87207" cy="456948"/>
    <xdr:pic>
      <xdr:nvPicPr>
        <xdr:cNvPr id="2" name="image1.jpeg">
          <a:extLst>
            <a:ext uri="{FF2B5EF4-FFF2-40B4-BE49-F238E27FC236}">
              <a16:creationId xmlns:a16="http://schemas.microsoft.com/office/drawing/2014/main" id="{A3183168-C286-B44B-A46E-3E961E3D5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207" cy="4569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2"/>
  <sheetViews>
    <sheetView showGridLines="0" tabSelected="1" zoomScale="93" workbookViewId="0"/>
  </sheetViews>
  <sheetFormatPr baseColWidth="10" defaultColWidth="9" defaultRowHeight="13"/>
  <cols>
    <col min="1" max="1" width="8" customWidth="1"/>
    <col min="2" max="2" width="14.59765625" customWidth="1"/>
    <col min="3" max="3" width="122.796875" customWidth="1"/>
    <col min="4" max="4" width="13.19921875" customWidth="1"/>
    <col min="5" max="5" width="23.59765625" style="21" customWidth="1"/>
    <col min="6" max="6" width="13.19921875" style="21" customWidth="1"/>
    <col min="7" max="8" width="29" style="21" customWidth="1"/>
    <col min="9" max="12" width="14.3984375" customWidth="1"/>
  </cols>
  <sheetData>
    <row r="1" spans="1:12" ht="51.5" customHeight="1">
      <c r="A1" s="17"/>
      <c r="B1" s="17"/>
      <c r="C1" s="17"/>
      <c r="D1" s="17"/>
      <c r="E1" s="17"/>
      <c r="F1" s="17"/>
      <c r="G1" s="24"/>
      <c r="H1" s="39"/>
      <c r="I1" s="17"/>
      <c r="J1" s="17"/>
      <c r="K1" s="17"/>
      <c r="L1" s="17"/>
    </row>
    <row r="2" spans="1:12" ht="20" customHeight="1">
      <c r="A2" s="1"/>
      <c r="B2" s="2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customHeight="1">
      <c r="A3" s="2"/>
      <c r="B3" s="26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4" customHeight="1">
      <c r="A4" s="1"/>
      <c r="B4" s="27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45" customHeight="1">
      <c r="A5" s="1"/>
      <c r="B5" s="33" t="s">
        <v>742</v>
      </c>
      <c r="C5" s="33" t="s">
        <v>741</v>
      </c>
      <c r="D5" s="33" t="s">
        <v>740</v>
      </c>
      <c r="E5" s="34" t="s">
        <v>739</v>
      </c>
      <c r="F5" s="34" t="s">
        <v>730</v>
      </c>
      <c r="G5" s="43" t="s">
        <v>746</v>
      </c>
      <c r="H5" s="42" t="s">
        <v>793</v>
      </c>
      <c r="I5" s="33" t="s">
        <v>738</v>
      </c>
      <c r="J5" s="35" t="s">
        <v>743</v>
      </c>
      <c r="K5" s="33" t="s">
        <v>745</v>
      </c>
      <c r="L5" s="35" t="s">
        <v>744</v>
      </c>
    </row>
    <row r="6" spans="1:12" ht="15" customHeight="1">
      <c r="A6" s="2"/>
      <c r="B6" s="10">
        <v>41035</v>
      </c>
      <c r="C6" s="23" t="s">
        <v>600</v>
      </c>
      <c r="D6" s="11" t="s">
        <v>11</v>
      </c>
      <c r="E6" s="25" t="s">
        <v>683</v>
      </c>
      <c r="F6" s="36" t="str">
        <f>+_xlfn.XLOOKUP(E6,Data_Cleaning!$B$6:$B$50,Data_Cleaning!$C$6:$C$50)</f>
        <v>Barcelona​</v>
      </c>
      <c r="G6" s="40" t="str" cm="1">
        <f t="array" ref="G6">_xlfn.XLOOKUP(TRUE,ISNUMBER(SEARCH(Data_Cleaning!$F$6:$F$36,C6)),Data_Cleaning!$G$6:$G$36,"Other",0)</f>
        <v>Double Degree</v>
      </c>
      <c r="H6" s="24" t="s">
        <v>795</v>
      </c>
      <c r="I6" s="12">
        <v>5000</v>
      </c>
      <c r="J6" s="12">
        <v>5000</v>
      </c>
      <c r="K6" s="12">
        <v>5000</v>
      </c>
      <c r="L6" s="12">
        <v>5000</v>
      </c>
    </row>
    <row r="7" spans="1:12" ht="15" customHeight="1">
      <c r="A7" s="1"/>
      <c r="B7" s="10">
        <v>71063</v>
      </c>
      <c r="C7" s="22" t="s">
        <v>17</v>
      </c>
      <c r="D7" s="11" t="s">
        <v>18</v>
      </c>
      <c r="E7" s="25" t="s">
        <v>684</v>
      </c>
      <c r="F7" s="36" t="str">
        <f>+_xlfn.XLOOKUP(E7,Data_Cleaning!$B$6:$B$50,Data_Cleaning!$C$6:$C$50)</f>
        <v>Barcelona​</v>
      </c>
      <c r="G7" s="36" t="str" cm="1">
        <f t="array" ref="G7">_xlfn.XLOOKUP(TRUE,ISNUMBER(SEARCH(Data_Cleaning!$F$6:$F$36,C7)),Data_Cleaning!$G$6:$G$36,"Other",0)</f>
        <v>Social Sciences and Law</v>
      </c>
      <c r="H7" s="24" t="str">
        <f>+_xlfn.XLOOKUP(G7,Data_Cleaning!$J$6:$J$11,Data_Cleaning!$K$6:$K$11)</f>
        <v>Social Sciences</v>
      </c>
      <c r="I7" s="12">
        <v>5000</v>
      </c>
      <c r="J7" s="12">
        <v>5000</v>
      </c>
      <c r="K7" s="12">
        <v>5000</v>
      </c>
      <c r="L7" s="12">
        <v>5000</v>
      </c>
    </row>
    <row r="8" spans="1:12" ht="15" customHeight="1">
      <c r="A8" s="1"/>
      <c r="B8" s="10">
        <v>61077</v>
      </c>
      <c r="C8" s="23" t="s">
        <v>607</v>
      </c>
      <c r="D8" s="11" t="s">
        <v>25</v>
      </c>
      <c r="E8" s="25" t="s">
        <v>684</v>
      </c>
      <c r="F8" s="36" t="str">
        <f>+_xlfn.XLOOKUP(E8,Data_Cleaning!$B$6:$B$50,Data_Cleaning!$C$6:$C$50)</f>
        <v>Barcelona​</v>
      </c>
      <c r="G8" s="36" t="str" cm="1">
        <f t="array" ref="G8">_xlfn.XLOOKUP(TRUE,ISNUMBER(SEARCH(Data_Cleaning!$F$6:$F$36,C8)),Data_Cleaning!$G$6:$G$36,"Other",0)</f>
        <v>Social Sciences and Law</v>
      </c>
      <c r="H8" s="24" t="str">
        <f>+_xlfn.XLOOKUP(G8,Data_Cleaning!$J$6:$J$11,Data_Cleaning!$K$6:$K$11)</f>
        <v>Social Sciences</v>
      </c>
      <c r="I8" s="12">
        <v>5000</v>
      </c>
      <c r="J8" s="12">
        <v>5000</v>
      </c>
      <c r="K8" s="12">
        <v>5000</v>
      </c>
      <c r="L8" s="12">
        <v>5000</v>
      </c>
    </row>
    <row r="9" spans="1:12" ht="15" customHeight="1">
      <c r="A9" s="1"/>
      <c r="B9" s="10">
        <v>71049</v>
      </c>
      <c r="C9" s="22" t="s">
        <v>50</v>
      </c>
      <c r="D9" s="11" t="s">
        <v>51</v>
      </c>
      <c r="E9" s="25" t="s">
        <v>696</v>
      </c>
      <c r="F9" s="36" t="str">
        <f>+_xlfn.XLOOKUP(E9,Data_Cleaning!$B$6:$B$50,Data_Cleaning!$C$6:$C$50)</f>
        <v>Tarragona​</v>
      </c>
      <c r="G9" s="36" t="s">
        <v>762</v>
      </c>
      <c r="H9" s="24" t="str">
        <f>+_xlfn.XLOOKUP(G9,Data_Cleaning!$J$6:$J$11,Data_Cleaning!$K$6:$K$11)</f>
        <v>Social Sciences</v>
      </c>
      <c r="I9" s="12">
        <v>5000</v>
      </c>
      <c r="J9" s="12">
        <v>5000</v>
      </c>
      <c r="K9" s="12">
        <v>5000</v>
      </c>
      <c r="L9" s="12">
        <v>5000</v>
      </c>
    </row>
    <row r="10" spans="1:12" ht="15" customHeight="1">
      <c r="A10" s="2"/>
      <c r="B10" s="10">
        <v>21152</v>
      </c>
      <c r="C10" s="22" t="s">
        <v>53</v>
      </c>
      <c r="D10" s="11" t="s">
        <v>20</v>
      </c>
      <c r="E10" s="25" t="s">
        <v>685</v>
      </c>
      <c r="F10" s="36" t="str">
        <f>+_xlfn.XLOOKUP(E10,Data_Cleaning!$B$6:$B$50,Data_Cleaning!$C$6:$C$50)</f>
        <v>Barcelona​</v>
      </c>
      <c r="G10" s="36" t="s">
        <v>762</v>
      </c>
      <c r="H10" s="24" t="str">
        <f>+_xlfn.XLOOKUP(G10,Data_Cleaning!$J$6:$J$11,Data_Cleaning!$K$6:$K$11)</f>
        <v>Social Sciences</v>
      </c>
      <c r="I10" s="12">
        <v>5000</v>
      </c>
      <c r="J10" s="12">
        <v>5000</v>
      </c>
      <c r="K10" s="12">
        <v>6300</v>
      </c>
      <c r="L10" s="12">
        <v>5000</v>
      </c>
    </row>
    <row r="11" spans="1:12" ht="15" customHeight="1">
      <c r="A11" s="2"/>
      <c r="B11" s="10">
        <v>11029</v>
      </c>
      <c r="C11" s="22" t="s">
        <v>54</v>
      </c>
      <c r="D11" s="11" t="s">
        <v>16</v>
      </c>
      <c r="E11" s="25" t="s">
        <v>684</v>
      </c>
      <c r="F11" s="36" t="str">
        <f>+_xlfn.XLOOKUP(E11,Data_Cleaning!$B$6:$B$50,Data_Cleaning!$C$6:$C$50)</f>
        <v>Barcelona​</v>
      </c>
      <c r="G11" s="36" t="s">
        <v>762</v>
      </c>
      <c r="H11" s="24" t="str">
        <f>+_xlfn.XLOOKUP(G11,Data_Cleaning!$J$6:$J$11,Data_Cleaning!$K$6:$K$11)</f>
        <v>Social Sciences</v>
      </c>
      <c r="I11" s="12">
        <v>5000</v>
      </c>
      <c r="J11" s="12">
        <v>5000</v>
      </c>
      <c r="K11" s="12">
        <v>5000</v>
      </c>
      <c r="L11" s="12">
        <v>6833</v>
      </c>
    </row>
    <row r="12" spans="1:12" ht="15" customHeight="1">
      <c r="A12" s="2"/>
      <c r="B12" s="10">
        <v>21146</v>
      </c>
      <c r="C12" s="22" t="s">
        <v>55</v>
      </c>
      <c r="D12" s="11" t="s">
        <v>20</v>
      </c>
      <c r="E12" s="25" t="s">
        <v>685</v>
      </c>
      <c r="F12" s="36" t="str">
        <f>+_xlfn.XLOOKUP(E12,Data_Cleaning!$B$6:$B$50,Data_Cleaning!$C$6:$C$50)</f>
        <v>Barcelona​</v>
      </c>
      <c r="G12" s="36" t="s">
        <v>762</v>
      </c>
      <c r="H12" s="24" t="str">
        <f>+_xlfn.XLOOKUP(G12,Data_Cleaning!$J$6:$J$11,Data_Cleaning!$K$6:$K$11)</f>
        <v>Social Sciences</v>
      </c>
      <c r="I12" s="12">
        <v>5000</v>
      </c>
      <c r="J12" s="12">
        <v>5000</v>
      </c>
      <c r="K12" s="12">
        <v>5000</v>
      </c>
      <c r="L12" s="12">
        <v>6667</v>
      </c>
    </row>
    <row r="13" spans="1:12" ht="15" customHeight="1">
      <c r="A13" s="2"/>
      <c r="B13" s="10">
        <v>81045</v>
      </c>
      <c r="C13" s="22" t="s">
        <v>66</v>
      </c>
      <c r="D13" s="11" t="s">
        <v>23</v>
      </c>
      <c r="E13" s="25" t="s">
        <v>698</v>
      </c>
      <c r="F13" s="36" t="str">
        <f>+_xlfn.XLOOKUP(E13,Data_Cleaning!$B$6:$B$50,Data_Cleaning!$C$6:$C$50)</f>
        <v>Girona​</v>
      </c>
      <c r="G13" s="36" t="str" cm="1">
        <f t="array" ref="G13">_xlfn.XLOOKUP(TRUE,ISNUMBER(SEARCH(Data_Cleaning!$F$6:$F$36,C13)),Data_Cleaning!$G$6:$G$36,"Other",0)</f>
        <v>Arts and Humanities</v>
      </c>
      <c r="H13" s="24" t="str">
        <f>+_xlfn.XLOOKUP(G13,Data_Cleaning!$J$6:$J$11,Data_Cleaning!$K$6:$K$11)</f>
        <v>Arts and Humanities</v>
      </c>
      <c r="I13" s="12">
        <v>5000</v>
      </c>
      <c r="J13" s="12">
        <v>5000</v>
      </c>
      <c r="K13" s="12">
        <v>5000</v>
      </c>
      <c r="L13" s="12">
        <v>5000</v>
      </c>
    </row>
    <row r="14" spans="1:12" ht="15" customHeight="1">
      <c r="A14" s="1"/>
      <c r="B14" s="10">
        <v>21020</v>
      </c>
      <c r="C14" s="22" t="s">
        <v>67</v>
      </c>
      <c r="D14" s="11" t="s">
        <v>20</v>
      </c>
      <c r="E14" s="25" t="s">
        <v>684</v>
      </c>
      <c r="F14" s="36" t="str">
        <f>+_xlfn.XLOOKUP(E14,Data_Cleaning!$B$6:$B$50,Data_Cleaning!$C$6:$C$50)</f>
        <v>Barcelona​</v>
      </c>
      <c r="G14" s="36" t="str" cm="1">
        <f t="array" ref="G14">_xlfn.XLOOKUP(TRUE,ISNUMBER(SEARCH(Data_Cleaning!$F$6:$F$36,C14)),Data_Cleaning!$G$6:$G$36,"Other",0)</f>
        <v>Arts and Humanities</v>
      </c>
      <c r="H14" s="24" t="str">
        <f>+_xlfn.XLOOKUP(G14,Data_Cleaning!$J$6:$J$11,Data_Cleaning!$K$6:$K$11)</f>
        <v>Arts and Humanities</v>
      </c>
      <c r="I14" s="12">
        <v>5000</v>
      </c>
      <c r="J14" s="12">
        <v>5000</v>
      </c>
      <c r="K14" s="12">
        <v>5000</v>
      </c>
      <c r="L14" s="12">
        <v>5000</v>
      </c>
    </row>
    <row r="15" spans="1:12" ht="15" customHeight="1">
      <c r="A15" s="2"/>
      <c r="B15" s="10">
        <v>91063</v>
      </c>
      <c r="C15" s="22" t="s">
        <v>68</v>
      </c>
      <c r="D15" s="11" t="s">
        <v>28</v>
      </c>
      <c r="E15" s="25" t="s">
        <v>692</v>
      </c>
      <c r="F15" s="36" t="str">
        <f>+_xlfn.XLOOKUP(E15,Data_Cleaning!$B$6:$B$50,Data_Cleaning!$C$6:$C$50)</f>
        <v>Barcelona​</v>
      </c>
      <c r="G15" s="36" t="s">
        <v>768</v>
      </c>
      <c r="H15" s="24" t="str">
        <f>+_xlfn.XLOOKUP(G15,Data_Cleaning!$J$6:$J$11,Data_Cleaning!$K$6:$K$11)</f>
        <v>Science and Technology</v>
      </c>
      <c r="I15" s="12">
        <v>5000</v>
      </c>
      <c r="J15" s="12">
        <v>5000</v>
      </c>
      <c r="K15" s="12">
        <v>5000</v>
      </c>
      <c r="L15" s="12">
        <v>5000</v>
      </c>
    </row>
    <row r="16" spans="1:12" ht="15" customHeight="1">
      <c r="A16" s="2"/>
      <c r="B16" s="10">
        <v>91059</v>
      </c>
      <c r="C16" s="22" t="s">
        <v>70</v>
      </c>
      <c r="D16" s="11" t="s">
        <v>28</v>
      </c>
      <c r="E16" s="25" t="s">
        <v>684</v>
      </c>
      <c r="F16" s="36" t="str">
        <f>+_xlfn.XLOOKUP(E16,Data_Cleaning!$B$6:$B$50,Data_Cleaning!$C$6:$C$50)</f>
        <v>Barcelona​</v>
      </c>
      <c r="G16" s="36" t="str" cm="1">
        <f t="array" ref="G16">_xlfn.XLOOKUP(TRUE,ISNUMBER(SEARCH(Data_Cleaning!$F$6:$F$36,C16)),Data_Cleaning!$G$6:$G$36,"Other",0)</f>
        <v>Arts and Humanities</v>
      </c>
      <c r="H16" s="24" t="str">
        <f>+_xlfn.XLOOKUP(G16,Data_Cleaning!$J$6:$J$11,Data_Cleaning!$K$6:$K$11)</f>
        <v>Arts and Humanities</v>
      </c>
      <c r="I16" s="12">
        <v>5000</v>
      </c>
      <c r="J16" s="12">
        <v>5000</v>
      </c>
      <c r="K16" s="12">
        <v>5000</v>
      </c>
      <c r="L16" s="12">
        <v>5000</v>
      </c>
    </row>
    <row r="17" spans="1:12" ht="15" customHeight="1">
      <c r="A17" s="2"/>
      <c r="B17" s="10">
        <v>11113</v>
      </c>
      <c r="C17" s="22" t="s">
        <v>111</v>
      </c>
      <c r="D17" s="11" t="s">
        <v>16</v>
      </c>
      <c r="E17" s="25" t="s">
        <v>684</v>
      </c>
      <c r="F17" s="36" t="str">
        <f>+_xlfn.XLOOKUP(E17,Data_Cleaning!$B$6:$B$50,Data_Cleaning!$C$6:$C$50)</f>
        <v>Barcelona​</v>
      </c>
      <c r="G17" s="36" t="s">
        <v>768</v>
      </c>
      <c r="H17" s="24" t="str">
        <f>+_xlfn.XLOOKUP(G17,Data_Cleaning!$J$6:$J$11,Data_Cleaning!$K$6:$K$11)</f>
        <v>Science and Technology</v>
      </c>
      <c r="I17" s="12">
        <v>5000</v>
      </c>
      <c r="J17" s="12">
        <v>5000</v>
      </c>
      <c r="K17" s="12">
        <v>5000</v>
      </c>
      <c r="L17" s="12">
        <v>5000</v>
      </c>
    </row>
    <row r="18" spans="1:12" ht="15" customHeight="1">
      <c r="A18" s="2"/>
      <c r="B18" s="10">
        <v>21117</v>
      </c>
      <c r="C18" s="22" t="s">
        <v>125</v>
      </c>
      <c r="D18" s="11" t="s">
        <v>20</v>
      </c>
      <c r="E18" s="25" t="s">
        <v>685</v>
      </c>
      <c r="F18" s="36" t="str">
        <f>+_xlfn.XLOOKUP(E18,Data_Cleaning!$B$6:$B$50,Data_Cleaning!$C$6:$C$50)</f>
        <v>Barcelona​</v>
      </c>
      <c r="G18" s="36" t="s">
        <v>762</v>
      </c>
      <c r="H18" s="24" t="str">
        <f>+_xlfn.XLOOKUP(G18,Data_Cleaning!$J$6:$J$11,Data_Cleaning!$K$6:$K$11)</f>
        <v>Social Sciences</v>
      </c>
      <c r="I18" s="12">
        <v>5000</v>
      </c>
      <c r="J18" s="12">
        <v>5000</v>
      </c>
      <c r="K18" s="12">
        <v>5000</v>
      </c>
      <c r="L18" s="12">
        <v>5000</v>
      </c>
    </row>
    <row r="19" spans="1:12" ht="15" customHeight="1">
      <c r="A19" s="2"/>
      <c r="B19" s="10">
        <v>11105</v>
      </c>
      <c r="C19" s="22" t="s">
        <v>133</v>
      </c>
      <c r="D19" s="11" t="s">
        <v>16</v>
      </c>
      <c r="E19" s="25" t="s">
        <v>706</v>
      </c>
      <c r="F19" s="36" t="str">
        <f>+_xlfn.XLOOKUP(E19,Data_Cleaning!$B$6:$B$50,Data_Cleaning!$C$6:$C$50)</f>
        <v>Barcelona​</v>
      </c>
      <c r="G19" s="36" t="s">
        <v>775</v>
      </c>
      <c r="H19" s="24" t="str">
        <f>+_xlfn.XLOOKUP(G19,Data_Cleaning!$J$6:$J$11,Data_Cleaning!$K$6:$K$11)</f>
        <v>Arts and Humanities</v>
      </c>
      <c r="I19" s="12">
        <v>5000</v>
      </c>
      <c r="J19" s="12">
        <v>5000</v>
      </c>
      <c r="K19" s="12">
        <v>5000</v>
      </c>
      <c r="L19" s="12">
        <v>5000</v>
      </c>
    </row>
    <row r="20" spans="1:12" ht="15" customHeight="1">
      <c r="A20" s="2"/>
      <c r="B20" s="10">
        <v>91006</v>
      </c>
      <c r="C20" s="22" t="s">
        <v>139</v>
      </c>
      <c r="D20" s="11" t="s">
        <v>28</v>
      </c>
      <c r="E20" s="25" t="s">
        <v>692</v>
      </c>
      <c r="F20" s="36" t="str">
        <f>+_xlfn.XLOOKUP(E20,Data_Cleaning!$B$6:$B$50,Data_Cleaning!$C$6:$C$50)</f>
        <v>Barcelona​</v>
      </c>
      <c r="G20" s="36" t="str" cm="1">
        <f t="array" ref="G20">_xlfn.XLOOKUP(TRUE,ISNUMBER(SEARCH(Data_Cleaning!$F$6:$F$36,C20)),Data_Cleaning!$G$6:$G$36,"Other",0)</f>
        <v>Social Sciences and Law</v>
      </c>
      <c r="H20" s="24" t="str">
        <f>+_xlfn.XLOOKUP(G20,Data_Cleaning!$J$6:$J$11,Data_Cleaning!$K$6:$K$11)</f>
        <v>Social Sciences</v>
      </c>
      <c r="I20" s="12">
        <v>5000</v>
      </c>
      <c r="J20" s="12">
        <v>5000</v>
      </c>
      <c r="K20" s="12">
        <v>5000</v>
      </c>
      <c r="L20" s="12">
        <v>5000</v>
      </c>
    </row>
    <row r="21" spans="1:12" ht="15" customHeight="1">
      <c r="A21" s="2"/>
      <c r="B21" s="10">
        <v>81005</v>
      </c>
      <c r="C21" s="22" t="s">
        <v>141</v>
      </c>
      <c r="D21" s="11" t="s">
        <v>23</v>
      </c>
      <c r="E21" s="25" t="s">
        <v>698</v>
      </c>
      <c r="F21" s="36" t="str">
        <f>+_xlfn.XLOOKUP(E21,Data_Cleaning!$B$6:$B$50,Data_Cleaning!$C$6:$C$50)</f>
        <v>Girona​</v>
      </c>
      <c r="G21" s="36" t="str" cm="1">
        <f t="array" ref="G21">_xlfn.XLOOKUP(TRUE,ISNUMBER(SEARCH(Data_Cleaning!$F$6:$F$36,C21)),Data_Cleaning!$G$6:$G$36,"Other",0)</f>
        <v>Social Sciences and Law</v>
      </c>
      <c r="H21" s="24" t="str">
        <f>+_xlfn.XLOOKUP(G21,Data_Cleaning!$J$6:$J$11,Data_Cleaning!$K$6:$K$11)</f>
        <v>Social Sciences</v>
      </c>
      <c r="I21" s="12">
        <v>5000</v>
      </c>
      <c r="J21" s="12">
        <v>5000</v>
      </c>
      <c r="K21" s="12">
        <v>5000</v>
      </c>
      <c r="L21" s="12">
        <v>5000</v>
      </c>
    </row>
    <row r="22" spans="1:12" ht="15" customHeight="1">
      <c r="A22" s="2"/>
      <c r="B22" s="10">
        <v>81067</v>
      </c>
      <c r="C22" s="22" t="s">
        <v>142</v>
      </c>
      <c r="D22" s="11" t="s">
        <v>23</v>
      </c>
      <c r="E22" s="25" t="s">
        <v>698</v>
      </c>
      <c r="F22" s="36" t="str">
        <f>+_xlfn.XLOOKUP(E22,Data_Cleaning!$B$6:$B$50,Data_Cleaning!$C$6:$C$50)</f>
        <v>Girona​</v>
      </c>
      <c r="G22" s="36" t="str" cm="1">
        <f t="array" ref="G22">_xlfn.XLOOKUP(TRUE,ISNUMBER(SEARCH(Data_Cleaning!$F$6:$F$36,C22)),Data_Cleaning!$G$6:$G$36,"Other",0)</f>
        <v>Social Sciences and Law</v>
      </c>
      <c r="H22" s="24" t="str">
        <f>+_xlfn.XLOOKUP(G22,Data_Cleaning!$J$6:$J$11,Data_Cleaning!$K$6:$K$11)</f>
        <v>Social Sciences</v>
      </c>
      <c r="I22" s="12">
        <v>5000</v>
      </c>
      <c r="J22" s="12">
        <v>5000</v>
      </c>
      <c r="K22" s="12">
        <v>5000</v>
      </c>
      <c r="L22" s="12">
        <v>5000</v>
      </c>
    </row>
    <row r="23" spans="1:12" ht="15" customHeight="1">
      <c r="A23" s="2"/>
      <c r="B23" s="10">
        <v>81068</v>
      </c>
      <c r="C23" s="22" t="s">
        <v>143</v>
      </c>
      <c r="D23" s="11" t="s">
        <v>23</v>
      </c>
      <c r="E23" s="25" t="s">
        <v>686</v>
      </c>
      <c r="F23" s="36" t="str">
        <f>+_xlfn.XLOOKUP(E23,Data_Cleaning!$B$6:$B$50,Data_Cleaning!$C$6:$C$50)</f>
        <v>Girona​</v>
      </c>
      <c r="G23" s="36" t="str" cm="1">
        <f t="array" ref="G23">_xlfn.XLOOKUP(TRUE,ISNUMBER(SEARCH(Data_Cleaning!$F$6:$F$36,C23)),Data_Cleaning!$G$6:$G$36,"Other",0)</f>
        <v>Social Sciences and Law</v>
      </c>
      <c r="H23" s="24" t="str">
        <f>+_xlfn.XLOOKUP(G23,Data_Cleaning!$J$6:$J$11,Data_Cleaning!$K$6:$K$11)</f>
        <v>Social Sciences</v>
      </c>
      <c r="I23" s="12">
        <v>5000</v>
      </c>
      <c r="J23" s="12">
        <v>5000</v>
      </c>
      <c r="K23" s="12">
        <v>5000</v>
      </c>
      <c r="L23" s="12">
        <v>6667</v>
      </c>
    </row>
    <row r="24" spans="1:12" ht="15" customHeight="1">
      <c r="A24" s="2"/>
      <c r="B24" s="10">
        <v>61042</v>
      </c>
      <c r="C24" s="22" t="s">
        <v>149</v>
      </c>
      <c r="D24" s="11" t="s">
        <v>25</v>
      </c>
      <c r="E24" s="25" t="s">
        <v>688</v>
      </c>
      <c r="F24" s="36" t="str">
        <f>+_xlfn.XLOOKUP(E24,Data_Cleaning!$B$6:$B$50,Data_Cleaning!$C$6:$C$50)</f>
        <v>Lleida​</v>
      </c>
      <c r="G24" s="36" t="str" cm="1">
        <f t="array" ref="G24">_xlfn.XLOOKUP(TRUE,ISNUMBER(SEARCH(Data_Cleaning!$F$6:$F$36,C24)),Data_Cleaning!$G$6:$G$36,"Other",0)</f>
        <v>Double Degree</v>
      </c>
      <c r="H24" s="24" t="s">
        <v>795</v>
      </c>
      <c r="I24" s="12">
        <v>5000</v>
      </c>
      <c r="J24" s="12">
        <v>5000</v>
      </c>
      <c r="K24" s="12">
        <v>7680</v>
      </c>
      <c r="L24" s="12">
        <v>5000</v>
      </c>
    </row>
    <row r="25" spans="1:12" ht="15" customHeight="1">
      <c r="A25" s="2"/>
      <c r="B25" s="10">
        <v>91050</v>
      </c>
      <c r="C25" s="22" t="s">
        <v>151</v>
      </c>
      <c r="D25" s="11" t="s">
        <v>28</v>
      </c>
      <c r="E25" s="25" t="s">
        <v>684</v>
      </c>
      <c r="F25" s="36" t="str">
        <f>+_xlfn.XLOOKUP(E25,Data_Cleaning!$B$6:$B$50,Data_Cleaning!$C$6:$C$50)</f>
        <v>Barcelona​</v>
      </c>
      <c r="G25" s="36" t="s">
        <v>762</v>
      </c>
      <c r="H25" s="24" t="str">
        <f>+_xlfn.XLOOKUP(G25,Data_Cleaning!$J$6:$J$11,Data_Cleaning!$K$6:$K$11)</f>
        <v>Social Sciences</v>
      </c>
      <c r="I25" s="12">
        <v>5000</v>
      </c>
      <c r="J25" s="12">
        <v>5000</v>
      </c>
      <c r="K25" s="12">
        <v>5000</v>
      </c>
      <c r="L25" s="12">
        <v>5000</v>
      </c>
    </row>
    <row r="26" spans="1:12" ht="15" customHeight="1">
      <c r="A26" s="2"/>
      <c r="B26" s="10">
        <v>81083</v>
      </c>
      <c r="C26" s="22" t="s">
        <v>158</v>
      </c>
      <c r="D26" s="11" t="s">
        <v>23</v>
      </c>
      <c r="E26" s="25" t="s">
        <v>708</v>
      </c>
      <c r="F26" s="36" t="str">
        <f>+_xlfn.XLOOKUP(E26,Data_Cleaning!$B$6:$B$50,Data_Cleaning!$C$6:$C$50)</f>
        <v>Barcelona​</v>
      </c>
      <c r="G26" s="36" t="s">
        <v>762</v>
      </c>
      <c r="H26" s="24" t="str">
        <f>+_xlfn.XLOOKUP(G26,Data_Cleaning!$J$6:$J$11,Data_Cleaning!$K$6:$K$11)</f>
        <v>Social Sciences</v>
      </c>
      <c r="I26" s="12">
        <v>5000</v>
      </c>
      <c r="J26" s="12">
        <v>5000</v>
      </c>
      <c r="K26" s="12">
        <v>5000</v>
      </c>
      <c r="L26" s="12">
        <v>5000</v>
      </c>
    </row>
    <row r="27" spans="1:12" ht="15" customHeight="1">
      <c r="A27" s="2"/>
      <c r="B27" s="10">
        <v>21107</v>
      </c>
      <c r="C27" s="22" t="s">
        <v>159</v>
      </c>
      <c r="D27" s="11" t="s">
        <v>20</v>
      </c>
      <c r="E27" s="25" t="s">
        <v>685</v>
      </c>
      <c r="F27" s="36" t="str">
        <f>+_xlfn.XLOOKUP(E27,Data_Cleaning!$B$6:$B$50,Data_Cleaning!$C$6:$C$50)</f>
        <v>Barcelona​</v>
      </c>
      <c r="G27" s="36" t="s">
        <v>762</v>
      </c>
      <c r="H27" s="24" t="str">
        <f>+_xlfn.XLOOKUP(G27,Data_Cleaning!$J$6:$J$11,Data_Cleaning!$K$6:$K$11)</f>
        <v>Social Sciences</v>
      </c>
      <c r="I27" s="12">
        <v>5000</v>
      </c>
      <c r="J27" s="12">
        <v>5000</v>
      </c>
      <c r="K27" s="12">
        <v>5000</v>
      </c>
      <c r="L27" s="12">
        <v>5000</v>
      </c>
    </row>
    <row r="28" spans="1:12" ht="15" customHeight="1">
      <c r="A28" s="1"/>
      <c r="B28" s="10">
        <v>11114</v>
      </c>
      <c r="C28" s="22" t="s">
        <v>160</v>
      </c>
      <c r="D28" s="11" t="s">
        <v>16</v>
      </c>
      <c r="E28" s="25" t="s">
        <v>684</v>
      </c>
      <c r="F28" s="36" t="str">
        <f>+_xlfn.XLOOKUP(E28,Data_Cleaning!$B$6:$B$50,Data_Cleaning!$C$6:$C$50)</f>
        <v>Barcelona​</v>
      </c>
      <c r="G28" s="36" t="s">
        <v>762</v>
      </c>
      <c r="H28" s="24" t="str">
        <f>+_xlfn.XLOOKUP(G28,Data_Cleaning!$J$6:$J$11,Data_Cleaning!$K$6:$K$11)</f>
        <v>Social Sciences</v>
      </c>
      <c r="I28" s="12">
        <v>5000</v>
      </c>
      <c r="J28" s="12">
        <v>5000</v>
      </c>
      <c r="K28" s="12">
        <v>5000</v>
      </c>
      <c r="L28" s="12">
        <v>5000</v>
      </c>
    </row>
    <row r="29" spans="1:12" ht="15" customHeight="1">
      <c r="A29" s="1"/>
      <c r="B29" s="10">
        <v>71085</v>
      </c>
      <c r="C29" s="22" t="s">
        <v>161</v>
      </c>
      <c r="D29" s="11" t="s">
        <v>18</v>
      </c>
      <c r="E29" s="25" t="s">
        <v>684</v>
      </c>
      <c r="F29" s="36" t="str">
        <f>+_xlfn.XLOOKUP(E29,Data_Cleaning!$B$6:$B$50,Data_Cleaning!$C$6:$C$50)</f>
        <v>Barcelona​</v>
      </c>
      <c r="G29" s="36" t="s">
        <v>762</v>
      </c>
      <c r="H29" s="24" t="str">
        <f>+_xlfn.XLOOKUP(G29,Data_Cleaning!$J$6:$J$11,Data_Cleaning!$K$6:$K$11)</f>
        <v>Social Sciences</v>
      </c>
      <c r="I29" s="12">
        <v>5000</v>
      </c>
      <c r="J29" s="12">
        <v>5000</v>
      </c>
      <c r="K29" s="12">
        <v>5000</v>
      </c>
      <c r="L29" s="12">
        <v>5000</v>
      </c>
    </row>
    <row r="30" spans="1:12" ht="15" customHeight="1">
      <c r="A30" s="1"/>
      <c r="B30" s="10">
        <v>11110</v>
      </c>
      <c r="C30" s="23" t="s">
        <v>616</v>
      </c>
      <c r="D30" s="11" t="s">
        <v>16</v>
      </c>
      <c r="E30" s="25" t="s">
        <v>709</v>
      </c>
      <c r="F30" s="36" t="str">
        <f>+_xlfn.XLOOKUP(E30,Data_Cleaning!$B$6:$B$50,Data_Cleaning!$C$6:$C$50)</f>
        <v>Barcelona​</v>
      </c>
      <c r="G30" s="36" t="s">
        <v>762</v>
      </c>
      <c r="H30" s="24" t="str">
        <f>+_xlfn.XLOOKUP(G30,Data_Cleaning!$J$6:$J$11,Data_Cleaning!$K$6:$K$11)</f>
        <v>Social Sciences</v>
      </c>
      <c r="I30" s="12">
        <v>5000</v>
      </c>
      <c r="J30" s="12">
        <v>5000</v>
      </c>
      <c r="K30" s="12">
        <v>5000</v>
      </c>
      <c r="L30" s="12">
        <v>5000</v>
      </c>
    </row>
    <row r="31" spans="1:12" ht="15" customHeight="1">
      <c r="A31" s="1"/>
      <c r="B31" s="10">
        <v>91007</v>
      </c>
      <c r="C31" s="22" t="s">
        <v>164</v>
      </c>
      <c r="D31" s="11" t="s">
        <v>28</v>
      </c>
      <c r="E31" s="25" t="s">
        <v>684</v>
      </c>
      <c r="F31" s="36" t="str">
        <f>+_xlfn.XLOOKUP(E31,Data_Cleaning!$B$6:$B$50,Data_Cleaning!$C$6:$C$50)</f>
        <v>Barcelona​</v>
      </c>
      <c r="G31" s="36" t="s">
        <v>775</v>
      </c>
      <c r="H31" s="24" t="str">
        <f>+_xlfn.XLOOKUP(G31,Data_Cleaning!$J$6:$J$11,Data_Cleaning!$K$6:$K$11)</f>
        <v>Arts and Humanities</v>
      </c>
      <c r="I31" s="12">
        <v>5000</v>
      </c>
      <c r="J31" s="12">
        <v>5000</v>
      </c>
      <c r="K31" s="12">
        <v>5000</v>
      </c>
      <c r="L31" s="12">
        <v>5000</v>
      </c>
    </row>
    <row r="32" spans="1:12" ht="15" customHeight="1">
      <c r="A32" s="1"/>
      <c r="B32" s="10">
        <v>21015</v>
      </c>
      <c r="C32" s="22" t="s">
        <v>165</v>
      </c>
      <c r="D32" s="11" t="s">
        <v>20</v>
      </c>
      <c r="E32" s="25" t="s">
        <v>684</v>
      </c>
      <c r="F32" s="36" t="str">
        <f>+_xlfn.XLOOKUP(E32,Data_Cleaning!$B$6:$B$50,Data_Cleaning!$C$6:$C$50)</f>
        <v>Barcelona​</v>
      </c>
      <c r="G32" s="36" t="s">
        <v>775</v>
      </c>
      <c r="H32" s="24" t="str">
        <f>+_xlfn.XLOOKUP(G32,Data_Cleaning!$J$6:$J$11,Data_Cleaning!$K$6:$K$11)</f>
        <v>Arts and Humanities</v>
      </c>
      <c r="I32" s="12">
        <v>5000</v>
      </c>
      <c r="J32" s="12">
        <v>5000</v>
      </c>
      <c r="K32" s="12">
        <v>5000</v>
      </c>
      <c r="L32" s="12">
        <v>5000</v>
      </c>
    </row>
    <row r="33" spans="1:12" ht="15" customHeight="1">
      <c r="A33" s="1"/>
      <c r="B33" s="10">
        <v>31121</v>
      </c>
      <c r="C33" s="22" t="s">
        <v>167</v>
      </c>
      <c r="D33" s="11" t="s">
        <v>58</v>
      </c>
      <c r="E33" s="25" t="s">
        <v>706</v>
      </c>
      <c r="F33" s="36" t="str">
        <f>+_xlfn.XLOOKUP(E33,Data_Cleaning!$B$6:$B$50,Data_Cleaning!$C$6:$C$50)</f>
        <v>Barcelona​</v>
      </c>
      <c r="G33" s="36" t="s">
        <v>775</v>
      </c>
      <c r="H33" s="24" t="str">
        <f>+_xlfn.XLOOKUP(G33,Data_Cleaning!$J$6:$J$11,Data_Cleaning!$K$6:$K$11)</f>
        <v>Arts and Humanities</v>
      </c>
      <c r="I33" s="12">
        <v>5000</v>
      </c>
      <c r="J33" s="12">
        <v>5000</v>
      </c>
      <c r="K33" s="12">
        <v>5000</v>
      </c>
      <c r="L33" s="12">
        <v>5000</v>
      </c>
    </row>
    <row r="34" spans="1:12" ht="15" customHeight="1">
      <c r="A34" s="2"/>
      <c r="B34" s="10">
        <v>31083</v>
      </c>
      <c r="C34" s="23" t="s">
        <v>617</v>
      </c>
      <c r="D34" s="11" t="s">
        <v>58</v>
      </c>
      <c r="E34" s="25" t="s">
        <v>710</v>
      </c>
      <c r="F34" s="36" t="str">
        <f>+_xlfn.XLOOKUP(E34,Data_Cleaning!$B$6:$B$50,Data_Cleaning!$C$6:$C$50)</f>
        <v>Barcelona​</v>
      </c>
      <c r="G34" s="36" t="s">
        <v>753</v>
      </c>
      <c r="H34" s="24" t="str">
        <f>+_xlfn.XLOOKUP(G34,Data_Cleaning!$J$6:$J$11,Data_Cleaning!$K$6:$K$11)</f>
        <v>Science and Technology</v>
      </c>
      <c r="I34" s="12">
        <v>5000</v>
      </c>
      <c r="J34" s="12">
        <v>6750</v>
      </c>
      <c r="K34" s="12">
        <v>5000</v>
      </c>
      <c r="L34" s="12">
        <v>5000</v>
      </c>
    </row>
    <row r="35" spans="1:12" ht="15" customHeight="1">
      <c r="A35" s="2"/>
      <c r="B35" s="10">
        <v>31074</v>
      </c>
      <c r="C35" s="23" t="s">
        <v>618</v>
      </c>
      <c r="D35" s="11" t="s">
        <v>58</v>
      </c>
      <c r="E35" s="25" t="s">
        <v>710</v>
      </c>
      <c r="F35" s="36" t="str">
        <f>+_xlfn.XLOOKUP(E35,Data_Cleaning!$B$6:$B$50,Data_Cleaning!$C$6:$C$50)</f>
        <v>Barcelona​</v>
      </c>
      <c r="G35" s="36" t="s">
        <v>753</v>
      </c>
      <c r="H35" s="24" t="str">
        <f>+_xlfn.XLOOKUP(G35,Data_Cleaning!$J$6:$J$11,Data_Cleaning!$K$6:$K$11)</f>
        <v>Science and Technology</v>
      </c>
      <c r="I35" s="12">
        <v>5000</v>
      </c>
      <c r="J35" s="12">
        <v>5000</v>
      </c>
      <c r="K35" s="12">
        <v>5000</v>
      </c>
      <c r="L35" s="12">
        <v>5000</v>
      </c>
    </row>
    <row r="36" spans="1:12" ht="15" customHeight="1">
      <c r="A36" s="2"/>
      <c r="B36" s="10">
        <v>11106</v>
      </c>
      <c r="C36" s="22" t="s">
        <v>171</v>
      </c>
      <c r="D36" s="11" t="s">
        <v>16</v>
      </c>
      <c r="E36" s="25" t="s">
        <v>684</v>
      </c>
      <c r="F36" s="36" t="str">
        <f>+_xlfn.XLOOKUP(E36,Data_Cleaning!$B$6:$B$50,Data_Cleaning!$C$6:$C$50)</f>
        <v>Barcelona​</v>
      </c>
      <c r="G36" s="36" t="s">
        <v>753</v>
      </c>
      <c r="H36" s="24" t="str">
        <f>+_xlfn.XLOOKUP(G36,Data_Cleaning!$J$6:$J$11,Data_Cleaning!$K$6:$K$11)</f>
        <v>Science and Technology</v>
      </c>
      <c r="I36" s="12">
        <v>5000</v>
      </c>
      <c r="J36" s="12">
        <v>5000</v>
      </c>
      <c r="K36" s="12">
        <v>5000</v>
      </c>
      <c r="L36" s="12">
        <v>5000</v>
      </c>
    </row>
    <row r="37" spans="1:12" ht="15" customHeight="1">
      <c r="A37" s="1"/>
      <c r="B37" s="10">
        <v>91056</v>
      </c>
      <c r="C37" s="22" t="s">
        <v>172</v>
      </c>
      <c r="D37" s="11" t="s">
        <v>28</v>
      </c>
      <c r="E37" s="25" t="s">
        <v>684</v>
      </c>
      <c r="F37" s="36" t="str">
        <f>+_xlfn.XLOOKUP(E37,Data_Cleaning!$B$6:$B$50,Data_Cleaning!$C$6:$C$50)</f>
        <v>Barcelona​</v>
      </c>
      <c r="G37" s="36" t="s">
        <v>775</v>
      </c>
      <c r="H37" s="24" t="str">
        <f>+_xlfn.XLOOKUP(G37,Data_Cleaning!$J$6:$J$11,Data_Cleaning!$K$6:$K$11)</f>
        <v>Arts and Humanities</v>
      </c>
      <c r="I37" s="12">
        <v>5000</v>
      </c>
      <c r="J37" s="12">
        <v>5000</v>
      </c>
      <c r="K37" s="12">
        <v>5000</v>
      </c>
      <c r="L37" s="12">
        <v>5000</v>
      </c>
    </row>
    <row r="38" spans="1:12" ht="15" customHeight="1">
      <c r="A38" s="2"/>
      <c r="B38" s="10">
        <v>41045</v>
      </c>
      <c r="C38" s="22" t="s">
        <v>173</v>
      </c>
      <c r="D38" s="11" t="s">
        <v>11</v>
      </c>
      <c r="E38" s="25" t="s">
        <v>683</v>
      </c>
      <c r="F38" s="36" t="str">
        <f>+_xlfn.XLOOKUP(E38,Data_Cleaning!$B$6:$B$50,Data_Cleaning!$C$6:$C$50)</f>
        <v>Barcelona​</v>
      </c>
      <c r="G38" s="36" t="s">
        <v>753</v>
      </c>
      <c r="H38" s="24" t="str">
        <f>+_xlfn.XLOOKUP(G38,Data_Cleaning!$J$6:$J$11,Data_Cleaning!$K$6:$K$11)</f>
        <v>Science and Technology</v>
      </c>
      <c r="I38" s="12">
        <v>5000</v>
      </c>
      <c r="J38" s="12">
        <v>5000</v>
      </c>
      <c r="K38" s="12">
        <v>5000</v>
      </c>
      <c r="L38" s="12">
        <v>5000</v>
      </c>
    </row>
    <row r="39" spans="1:12" ht="15" customHeight="1">
      <c r="A39" s="2"/>
      <c r="B39" s="10">
        <v>41052</v>
      </c>
      <c r="C39" s="23" t="s">
        <v>619</v>
      </c>
      <c r="D39" s="11" t="s">
        <v>11</v>
      </c>
      <c r="E39" s="25" t="s">
        <v>683</v>
      </c>
      <c r="F39" s="36" t="str">
        <f>+_xlfn.XLOOKUP(E39,Data_Cleaning!$B$6:$B$50,Data_Cleaning!$C$6:$C$50)</f>
        <v>Barcelona​</v>
      </c>
      <c r="G39" s="40" t="str" cm="1">
        <f t="array" ref="G39">_xlfn.XLOOKUP(TRUE,ISNUMBER(SEARCH(Data_Cleaning!$F$6:$F$36,C39)),Data_Cleaning!$G$6:$G$36,"Other",0)</f>
        <v>Double Degree</v>
      </c>
      <c r="H39" s="24" t="s">
        <v>794</v>
      </c>
      <c r="I39" s="12">
        <v>5000</v>
      </c>
      <c r="J39" s="12">
        <v>5000</v>
      </c>
      <c r="K39" s="12">
        <v>5000</v>
      </c>
      <c r="L39" s="12">
        <v>5000</v>
      </c>
    </row>
    <row r="40" spans="1:12" ht="15" customHeight="1">
      <c r="A40" s="2"/>
      <c r="B40" s="10">
        <v>91921</v>
      </c>
      <c r="C40" s="22" t="s">
        <v>175</v>
      </c>
      <c r="D40" s="13" t="s">
        <v>176</v>
      </c>
      <c r="E40" s="25" t="s">
        <v>684</v>
      </c>
      <c r="F40" s="36" t="str">
        <f>+_xlfn.XLOOKUP(E40,Data_Cleaning!$B$6:$B$50,Data_Cleaning!$C$6:$C$50)</f>
        <v>Barcelona​</v>
      </c>
      <c r="G40" s="40" t="s">
        <v>768</v>
      </c>
      <c r="H40" s="24" t="str">
        <f>+_xlfn.XLOOKUP(G40,Data_Cleaning!$J$6:$J$11,Data_Cleaning!$K$6:$K$11)</f>
        <v>Science and Technology</v>
      </c>
      <c r="I40" s="12">
        <v>5000</v>
      </c>
      <c r="J40" s="12">
        <v>5000</v>
      </c>
      <c r="K40" s="12">
        <v>5000</v>
      </c>
      <c r="L40" s="12">
        <v>5000</v>
      </c>
    </row>
    <row r="41" spans="1:12" ht="15" customHeight="1">
      <c r="A41" s="2"/>
      <c r="B41" s="10">
        <v>91053</v>
      </c>
      <c r="C41" s="22" t="s">
        <v>180</v>
      </c>
      <c r="D41" s="11" t="s">
        <v>28</v>
      </c>
      <c r="E41" s="25" t="s">
        <v>684</v>
      </c>
      <c r="F41" s="36" t="str">
        <f>+_xlfn.XLOOKUP(E41,Data_Cleaning!$B$6:$B$50,Data_Cleaning!$C$6:$C$50)</f>
        <v>Barcelona​</v>
      </c>
      <c r="G41" s="40" t="str" cm="1">
        <f t="array" ref="G41">_xlfn.XLOOKUP(TRUE,ISNUMBER(SEARCH(Data_Cleaning!$F$6:$F$36,C41)),Data_Cleaning!$G$6:$G$36,"Other",0)</f>
        <v>Social Sciences and Law</v>
      </c>
      <c r="H41" s="24" t="str">
        <f>+_xlfn.XLOOKUP(G41,Data_Cleaning!$J$6:$J$11,Data_Cleaning!$K$6:$K$11)</f>
        <v>Social Sciences</v>
      </c>
      <c r="I41" s="12">
        <v>5000</v>
      </c>
      <c r="J41" s="12">
        <v>5000</v>
      </c>
      <c r="K41" s="12">
        <v>5000</v>
      </c>
      <c r="L41" s="12">
        <v>5000</v>
      </c>
    </row>
    <row r="42" spans="1:12" ht="15" customHeight="1">
      <c r="A42" s="2"/>
      <c r="B42" s="10">
        <v>61011</v>
      </c>
      <c r="C42" s="22" t="s">
        <v>202</v>
      </c>
      <c r="D42" s="11" t="s">
        <v>25</v>
      </c>
      <c r="E42" s="25" t="s">
        <v>688</v>
      </c>
      <c r="F42" s="36" t="str">
        <f>+_xlfn.XLOOKUP(E42,Data_Cleaning!$B$6:$B$50,Data_Cleaning!$C$6:$C$50)</f>
        <v>Lleida​</v>
      </c>
      <c r="G42" s="40" t="str" cm="1">
        <f t="array" ref="G42">_xlfn.XLOOKUP(TRUE,ISNUMBER(SEARCH(Data_Cleaning!$F$6:$F$36,C42)),Data_Cleaning!$G$6:$G$36,"Other",0)</f>
        <v>Social Sciences and Law</v>
      </c>
      <c r="H42" s="24" t="str">
        <f>+_xlfn.XLOOKUP(G42,Data_Cleaning!$J$6:$J$11,Data_Cleaning!$K$6:$K$11)</f>
        <v>Social Sciences</v>
      </c>
      <c r="I42" s="12">
        <v>5000</v>
      </c>
      <c r="J42" s="12">
        <v>5000</v>
      </c>
      <c r="K42" s="12">
        <v>5000</v>
      </c>
      <c r="L42" s="12">
        <v>5000</v>
      </c>
    </row>
    <row r="43" spans="1:12" ht="15" customHeight="1">
      <c r="A43" s="2"/>
      <c r="B43" s="10">
        <v>91038</v>
      </c>
      <c r="C43" s="22" t="s">
        <v>203</v>
      </c>
      <c r="D43" s="11" t="s">
        <v>28</v>
      </c>
      <c r="E43" s="25" t="s">
        <v>689</v>
      </c>
      <c r="F43" s="36" t="str">
        <f>+_xlfn.XLOOKUP(E43,Data_Cleaning!$B$6:$B$50,Data_Cleaning!$C$6:$C$50)</f>
        <v>Barcelona​</v>
      </c>
      <c r="G43" s="40" t="str" cm="1">
        <f t="array" ref="G43">_xlfn.XLOOKUP(TRUE,ISNUMBER(SEARCH(Data_Cleaning!$F$6:$F$36,C43)),Data_Cleaning!$G$6:$G$36,"Other",0)</f>
        <v>Social Sciences and Law</v>
      </c>
      <c r="H43" s="24" t="str">
        <f>+_xlfn.XLOOKUP(G43,Data_Cleaning!$J$6:$J$11,Data_Cleaning!$K$6:$K$11)</f>
        <v>Social Sciences</v>
      </c>
      <c r="I43" s="12">
        <v>5000</v>
      </c>
      <c r="J43" s="12">
        <v>5000</v>
      </c>
      <c r="K43" s="12">
        <v>5000</v>
      </c>
      <c r="L43" s="12">
        <v>5000</v>
      </c>
    </row>
    <row r="44" spans="1:12" ht="15" customHeight="1">
      <c r="A44" s="2"/>
      <c r="B44" s="10">
        <v>71029</v>
      </c>
      <c r="C44" s="22" t="s">
        <v>205</v>
      </c>
      <c r="D44" s="11" t="s">
        <v>18</v>
      </c>
      <c r="E44" s="25" t="s">
        <v>691</v>
      </c>
      <c r="F44" s="36" t="str">
        <f>+_xlfn.XLOOKUP(E44,Data_Cleaning!$B$6:$B$50,Data_Cleaning!$C$6:$C$50)</f>
        <v>Tarragona​</v>
      </c>
      <c r="G44" s="40" t="str" cm="1">
        <f t="array" ref="G44">_xlfn.XLOOKUP(TRUE,ISNUMBER(SEARCH(Data_Cleaning!$F$6:$F$36,C44)),Data_Cleaning!$G$6:$G$36,"Other",0)</f>
        <v>Social Sciences and Law</v>
      </c>
      <c r="H44" s="24" t="str">
        <f>+_xlfn.XLOOKUP(G44,Data_Cleaning!$J$6:$J$11,Data_Cleaning!$K$6:$K$11)</f>
        <v>Social Sciences</v>
      </c>
      <c r="I44" s="12">
        <v>5000</v>
      </c>
      <c r="J44" s="12">
        <v>5000</v>
      </c>
      <c r="K44" s="12">
        <v>5000</v>
      </c>
      <c r="L44" s="12">
        <v>5000</v>
      </c>
    </row>
    <row r="45" spans="1:12" ht="15" customHeight="1">
      <c r="A45" s="2"/>
      <c r="B45" s="10">
        <v>91008</v>
      </c>
      <c r="C45" s="22" t="s">
        <v>206</v>
      </c>
      <c r="D45" s="11" t="s">
        <v>28</v>
      </c>
      <c r="E45" s="25" t="s">
        <v>692</v>
      </c>
      <c r="F45" s="36" t="str">
        <f>+_xlfn.XLOOKUP(E45,Data_Cleaning!$B$6:$B$50,Data_Cleaning!$C$6:$C$50)</f>
        <v>Barcelona​</v>
      </c>
      <c r="G45" s="36" t="str" cm="1">
        <f t="array" ref="G45">_xlfn.XLOOKUP(TRUE,ISNUMBER(SEARCH(Data_Cleaning!$F$6:$F$36,C45)),Data_Cleaning!$G$6:$G$36,"Other",0)</f>
        <v>Social Sciences and Law</v>
      </c>
      <c r="H45" s="24" t="str">
        <f>+_xlfn.XLOOKUP(G45,Data_Cleaning!$J$6:$J$11,Data_Cleaning!$K$6:$K$11)</f>
        <v>Social Sciences</v>
      </c>
      <c r="I45" s="12">
        <v>5000</v>
      </c>
      <c r="J45" s="12">
        <v>5000</v>
      </c>
      <c r="K45" s="12">
        <v>5000</v>
      </c>
      <c r="L45" s="12">
        <v>5000</v>
      </c>
    </row>
    <row r="46" spans="1:12" ht="15" customHeight="1">
      <c r="A46" s="2"/>
      <c r="B46" s="10">
        <v>91010</v>
      </c>
      <c r="C46" s="22" t="s">
        <v>228</v>
      </c>
      <c r="D46" s="11" t="s">
        <v>28</v>
      </c>
      <c r="E46" s="25" t="s">
        <v>692</v>
      </c>
      <c r="F46" s="36" t="str">
        <f>+_xlfn.XLOOKUP(E46,Data_Cleaning!$B$6:$B$50,Data_Cleaning!$C$6:$C$50)</f>
        <v>Barcelona​</v>
      </c>
      <c r="G46" s="36" t="str" cm="1">
        <f t="array" ref="G46">_xlfn.XLOOKUP(TRUE,ISNUMBER(SEARCH(Data_Cleaning!$F$6:$F$36,C46)),Data_Cleaning!$G$6:$G$36,"Other",0)</f>
        <v>Social Sciences and Law</v>
      </c>
      <c r="H46" s="24" t="str">
        <f>+_xlfn.XLOOKUP(G46,Data_Cleaning!$J$6:$J$11,Data_Cleaning!$K$6:$K$11)</f>
        <v>Social Sciences</v>
      </c>
      <c r="I46" s="12">
        <v>5000</v>
      </c>
      <c r="J46" s="12">
        <v>5000</v>
      </c>
      <c r="K46" s="12">
        <v>5000</v>
      </c>
      <c r="L46" s="12">
        <v>5000</v>
      </c>
    </row>
    <row r="47" spans="1:12" ht="15" customHeight="1">
      <c r="A47" s="2"/>
      <c r="B47" s="10">
        <v>31125</v>
      </c>
      <c r="C47" s="23" t="s">
        <v>630</v>
      </c>
      <c r="D47" s="11" t="s">
        <v>58</v>
      </c>
      <c r="E47" s="25" t="s">
        <v>684</v>
      </c>
      <c r="F47" s="36" t="str">
        <f>+_xlfn.XLOOKUP(E47,Data_Cleaning!$B$6:$B$50,Data_Cleaning!$C$6:$C$50)</f>
        <v>Barcelona​</v>
      </c>
      <c r="G47" s="36" t="str" cm="1">
        <f t="array" ref="G47">_xlfn.XLOOKUP(TRUE,ISNUMBER(SEARCH(Data_Cleaning!$F$6:$F$36,C47)),Data_Cleaning!$G$6:$G$36,"Other",0)</f>
        <v>Social Sciences and Law</v>
      </c>
      <c r="H47" s="24" t="str">
        <f>+_xlfn.XLOOKUP(G47,Data_Cleaning!$J$6:$J$11,Data_Cleaning!$K$6:$K$11)</f>
        <v>Social Sciences</v>
      </c>
      <c r="I47" s="12">
        <v>5000</v>
      </c>
      <c r="J47" s="12">
        <v>5000</v>
      </c>
      <c r="K47" s="12">
        <v>5000</v>
      </c>
      <c r="L47" s="12">
        <v>5000</v>
      </c>
    </row>
    <row r="48" spans="1:12" ht="15" customHeight="1">
      <c r="A48" s="2"/>
      <c r="B48" s="10">
        <v>31128</v>
      </c>
      <c r="C48" s="23" t="s">
        <v>631</v>
      </c>
      <c r="D48" s="11" t="s">
        <v>58</v>
      </c>
      <c r="E48" s="25" t="s">
        <v>706</v>
      </c>
      <c r="F48" s="36" t="str">
        <f>+_xlfn.XLOOKUP(E48,Data_Cleaning!$B$6:$B$50,Data_Cleaning!$C$6:$C$50)</f>
        <v>Barcelona​</v>
      </c>
      <c r="G48" s="36" t="str" cm="1">
        <f t="array" ref="G48">_xlfn.XLOOKUP(TRUE,ISNUMBER(SEARCH(Data_Cleaning!$F$6:$F$36,C48)),Data_Cleaning!$G$6:$G$36,"Other",0)</f>
        <v>Social Sciences and Law</v>
      </c>
      <c r="H48" s="24" t="str">
        <f>+_xlfn.XLOOKUP(G48,Data_Cleaning!$J$6:$J$11,Data_Cleaning!$K$6:$K$11)</f>
        <v>Social Sciences</v>
      </c>
      <c r="I48" s="12">
        <v>5000</v>
      </c>
      <c r="J48" s="12">
        <v>5000</v>
      </c>
      <c r="K48" s="12">
        <v>5000</v>
      </c>
      <c r="L48" s="12">
        <v>5000</v>
      </c>
    </row>
    <row r="49" spans="1:12" ht="15" customHeight="1">
      <c r="A49" s="2"/>
      <c r="B49" s="10">
        <v>31127</v>
      </c>
      <c r="C49" s="23" t="s">
        <v>632</v>
      </c>
      <c r="D49" s="11" t="s">
        <v>58</v>
      </c>
      <c r="E49" s="25" t="s">
        <v>706</v>
      </c>
      <c r="F49" s="36" t="str">
        <f>+_xlfn.XLOOKUP(E49,Data_Cleaning!$B$6:$B$50,Data_Cleaning!$C$6:$C$50)</f>
        <v>Barcelona​</v>
      </c>
      <c r="G49" s="36" t="str" cm="1">
        <f t="array" ref="G49">_xlfn.XLOOKUP(TRUE,ISNUMBER(SEARCH(Data_Cleaning!$F$6:$F$36,C49)),Data_Cleaning!$G$6:$G$36,"Other",0)</f>
        <v>Social Sciences and Law</v>
      </c>
      <c r="H49" s="24" t="str">
        <f>+_xlfn.XLOOKUP(G49,Data_Cleaning!$J$6:$J$11,Data_Cleaning!$K$6:$K$11)</f>
        <v>Social Sciences</v>
      </c>
      <c r="I49" s="12">
        <v>5000</v>
      </c>
      <c r="J49" s="12">
        <v>5000</v>
      </c>
      <c r="K49" s="12">
        <v>5000</v>
      </c>
      <c r="L49" s="12">
        <v>5000</v>
      </c>
    </row>
    <row r="50" spans="1:12" ht="15" customHeight="1">
      <c r="A50" s="2"/>
      <c r="B50" s="10">
        <v>31136</v>
      </c>
      <c r="C50" s="23" t="s">
        <v>633</v>
      </c>
      <c r="D50" s="11" t="s">
        <v>58</v>
      </c>
      <c r="E50" s="25" t="s">
        <v>684</v>
      </c>
      <c r="F50" s="36" t="str">
        <f>+_xlfn.XLOOKUP(E50,Data_Cleaning!$B$6:$B$50,Data_Cleaning!$C$6:$C$50)</f>
        <v>Barcelona​</v>
      </c>
      <c r="G50" s="36" t="str" cm="1">
        <f t="array" ref="G50">_xlfn.XLOOKUP(TRUE,ISNUMBER(SEARCH(Data_Cleaning!$F$6:$F$36,C50)),Data_Cleaning!$G$6:$G$36,"Other",0)</f>
        <v>Double Degree</v>
      </c>
      <c r="H50" s="24" t="s">
        <v>795</v>
      </c>
      <c r="I50" s="12">
        <v>5000</v>
      </c>
      <c r="J50" s="12">
        <v>5000</v>
      </c>
      <c r="K50" s="12">
        <v>5000</v>
      </c>
      <c r="L50" s="12">
        <v>5000</v>
      </c>
    </row>
    <row r="51" spans="1:12" ht="15" customHeight="1">
      <c r="A51" s="2"/>
      <c r="B51" s="10">
        <v>31130</v>
      </c>
      <c r="C51" s="23" t="s">
        <v>635</v>
      </c>
      <c r="D51" s="11" t="s">
        <v>58</v>
      </c>
      <c r="E51" s="25" t="s">
        <v>706</v>
      </c>
      <c r="F51" s="36" t="str">
        <f>+_xlfn.XLOOKUP(E51,Data_Cleaning!$B$6:$B$50,Data_Cleaning!$C$6:$C$50)</f>
        <v>Barcelona​</v>
      </c>
      <c r="G51" s="36" t="str" cm="1">
        <f t="array" ref="G51">_xlfn.XLOOKUP(TRUE,ISNUMBER(SEARCH(Data_Cleaning!$F$6:$F$36,C51)),Data_Cleaning!$G$6:$G$36,"Other",0)</f>
        <v>Double Degree</v>
      </c>
      <c r="H51" s="24" t="s">
        <v>795</v>
      </c>
      <c r="I51" s="12">
        <v>5000</v>
      </c>
      <c r="J51" s="12">
        <v>5000</v>
      </c>
      <c r="K51" s="12">
        <v>5000</v>
      </c>
      <c r="L51" s="12">
        <v>5000</v>
      </c>
    </row>
    <row r="52" spans="1:12" ht="15" customHeight="1">
      <c r="A52" s="2"/>
      <c r="B52" s="10">
        <v>91057</v>
      </c>
      <c r="C52" s="22" t="s">
        <v>255</v>
      </c>
      <c r="D52" s="11" t="s">
        <v>28</v>
      </c>
      <c r="E52" s="25" t="s">
        <v>684</v>
      </c>
      <c r="F52" s="36" t="str">
        <f>+_xlfn.XLOOKUP(E52,Data_Cleaning!$B$6:$B$50,Data_Cleaning!$C$6:$C$50)</f>
        <v>Barcelona​</v>
      </c>
      <c r="G52" s="36" t="str" cm="1">
        <f t="array" ref="G52">_xlfn.XLOOKUP(TRUE,ISNUMBER(SEARCH(Data_Cleaning!$F$6:$F$36,C52)),Data_Cleaning!$G$6:$G$36,"Other",0)</f>
        <v>Engineering and Architecture</v>
      </c>
      <c r="H52" s="24" t="str">
        <f>+_xlfn.XLOOKUP(G52,Data_Cleaning!$J$6:$J$11,Data_Cleaning!$K$6:$K$11)</f>
        <v>Science and Technology</v>
      </c>
      <c r="I52" s="12">
        <v>5000</v>
      </c>
      <c r="J52" s="12">
        <v>5000</v>
      </c>
      <c r="K52" s="12">
        <v>5000</v>
      </c>
      <c r="L52" s="12">
        <v>5000</v>
      </c>
    </row>
    <row r="53" spans="1:12" ht="15" customHeight="1">
      <c r="A53" s="2"/>
      <c r="B53" s="10">
        <v>61054</v>
      </c>
      <c r="C53" s="22" t="s">
        <v>348</v>
      </c>
      <c r="D53" s="11" t="s">
        <v>25</v>
      </c>
      <c r="E53" s="25" t="s">
        <v>688</v>
      </c>
      <c r="F53" s="36" t="str">
        <f>+_xlfn.XLOOKUP(E53,Data_Cleaning!$B$6:$B$50,Data_Cleaning!$C$6:$C$50)</f>
        <v>Lleida​</v>
      </c>
      <c r="G53" s="36" t="s">
        <v>775</v>
      </c>
      <c r="H53" s="24" t="str">
        <f>+_xlfn.XLOOKUP(G53,Data_Cleaning!$J$6:$J$11,Data_Cleaning!$K$6:$K$11)</f>
        <v>Arts and Humanities</v>
      </c>
      <c r="I53" s="12">
        <v>5000</v>
      </c>
      <c r="J53" s="12">
        <v>5000</v>
      </c>
      <c r="K53" s="12">
        <v>5000</v>
      </c>
      <c r="L53" s="12">
        <v>5000</v>
      </c>
    </row>
    <row r="54" spans="1:12" ht="15" customHeight="1">
      <c r="A54" s="2"/>
      <c r="B54" s="10">
        <v>61051</v>
      </c>
      <c r="C54" s="22" t="s">
        <v>349</v>
      </c>
      <c r="D54" s="11" t="s">
        <v>25</v>
      </c>
      <c r="E54" s="25" t="s">
        <v>688</v>
      </c>
      <c r="F54" s="36" t="str">
        <f>+_xlfn.XLOOKUP(E54,Data_Cleaning!$B$6:$B$50,Data_Cleaning!$C$6:$C$50)</f>
        <v>Lleida​</v>
      </c>
      <c r="G54" s="36" t="str" cm="1">
        <f t="array" ref="G54">_xlfn.XLOOKUP(TRUE,ISNUMBER(SEARCH(Data_Cleaning!$F$6:$F$36,C54)),Data_Cleaning!$G$6:$G$36,"Other",0)</f>
        <v>Double Degree</v>
      </c>
      <c r="H54" s="24" t="s">
        <v>775</v>
      </c>
      <c r="I54" s="12">
        <v>5000</v>
      </c>
      <c r="J54" s="12">
        <v>5000</v>
      </c>
      <c r="K54" s="12">
        <v>5000</v>
      </c>
      <c r="L54" s="12">
        <v>5000</v>
      </c>
    </row>
    <row r="55" spans="1:12" ht="15" customHeight="1">
      <c r="A55" s="2"/>
      <c r="B55" s="10">
        <v>11094</v>
      </c>
      <c r="C55" s="22" t="s">
        <v>350</v>
      </c>
      <c r="D55" s="11" t="s">
        <v>16</v>
      </c>
      <c r="E55" s="25" t="s">
        <v>684</v>
      </c>
      <c r="F55" s="36" t="str">
        <f>+_xlfn.XLOOKUP(E55,Data_Cleaning!$B$6:$B$50,Data_Cleaning!$C$6:$C$50)</f>
        <v>Barcelona​</v>
      </c>
      <c r="G55" s="36" t="s">
        <v>775</v>
      </c>
      <c r="H55" s="24" t="str">
        <f>+_xlfn.XLOOKUP(G55,Data_Cleaning!$J$6:$J$11,Data_Cleaning!$K$6:$K$11)</f>
        <v>Arts and Humanities</v>
      </c>
      <c r="I55" s="12">
        <v>5000</v>
      </c>
      <c r="J55" s="12">
        <v>6000</v>
      </c>
      <c r="K55" s="12">
        <v>5000</v>
      </c>
      <c r="L55" s="12">
        <v>5000</v>
      </c>
    </row>
    <row r="56" spans="1:12" ht="15" customHeight="1">
      <c r="A56" s="2"/>
      <c r="B56" s="10">
        <v>21140</v>
      </c>
      <c r="C56" s="22" t="s">
        <v>351</v>
      </c>
      <c r="D56" s="11" t="s">
        <v>20</v>
      </c>
      <c r="E56" s="25" t="s">
        <v>685</v>
      </c>
      <c r="F56" s="36" t="str">
        <f>+_xlfn.XLOOKUP(E56,Data_Cleaning!$B$6:$B$50,Data_Cleaning!$C$6:$C$50)</f>
        <v>Barcelona​</v>
      </c>
      <c r="G56" s="40" t="s">
        <v>775</v>
      </c>
      <c r="H56" s="24" t="str">
        <f>+_xlfn.XLOOKUP(G56,Data_Cleaning!$J$6:$J$11,Data_Cleaning!$K$6:$K$11)</f>
        <v>Arts and Humanities</v>
      </c>
      <c r="I56" s="12">
        <v>5000</v>
      </c>
      <c r="J56" s="12">
        <v>5000</v>
      </c>
      <c r="K56" s="12">
        <v>7750</v>
      </c>
      <c r="L56" s="12">
        <v>5000</v>
      </c>
    </row>
    <row r="57" spans="1:12" ht="15" customHeight="1">
      <c r="A57" s="2"/>
      <c r="B57" s="10">
        <v>21141</v>
      </c>
      <c r="C57" s="22" t="s">
        <v>352</v>
      </c>
      <c r="D57" s="11" t="s">
        <v>20</v>
      </c>
      <c r="E57" s="25" t="s">
        <v>685</v>
      </c>
      <c r="F57" s="36" t="str">
        <f>+_xlfn.XLOOKUP(E57,Data_Cleaning!$B$6:$B$50,Data_Cleaning!$C$6:$C$50)</f>
        <v>Barcelona​</v>
      </c>
      <c r="G57" s="36" t="s">
        <v>775</v>
      </c>
      <c r="H57" s="24" t="str">
        <f>+_xlfn.XLOOKUP(G57,Data_Cleaning!$J$6:$J$11,Data_Cleaning!$K$6:$K$11)</f>
        <v>Arts and Humanities</v>
      </c>
      <c r="I57" s="12">
        <v>5000</v>
      </c>
      <c r="J57" s="12">
        <v>5000</v>
      </c>
      <c r="K57" s="12">
        <v>5000</v>
      </c>
      <c r="L57" s="12">
        <v>5000</v>
      </c>
    </row>
    <row r="58" spans="1:12" ht="15" customHeight="1">
      <c r="A58" s="2"/>
      <c r="B58" s="10">
        <v>21142</v>
      </c>
      <c r="C58" s="22" t="s">
        <v>353</v>
      </c>
      <c r="D58" s="11" t="s">
        <v>20</v>
      </c>
      <c r="E58" s="25" t="s">
        <v>685</v>
      </c>
      <c r="F58" s="36" t="str">
        <f>+_xlfn.XLOOKUP(E58,Data_Cleaning!$B$6:$B$50,Data_Cleaning!$C$6:$C$50)</f>
        <v>Barcelona​</v>
      </c>
      <c r="G58" s="36" t="s">
        <v>775</v>
      </c>
      <c r="H58" s="24" t="str">
        <f>+_xlfn.XLOOKUP(G58,Data_Cleaning!$J$6:$J$11,Data_Cleaning!$K$6:$K$11)</f>
        <v>Arts and Humanities</v>
      </c>
      <c r="I58" s="12">
        <v>5000</v>
      </c>
      <c r="J58" s="12">
        <v>5000</v>
      </c>
      <c r="K58" s="12">
        <v>5000</v>
      </c>
      <c r="L58" s="12">
        <v>5000</v>
      </c>
    </row>
    <row r="59" spans="1:12" ht="15" customHeight="1">
      <c r="A59" s="1"/>
      <c r="B59" s="10">
        <v>21143</v>
      </c>
      <c r="C59" s="22" t="s">
        <v>354</v>
      </c>
      <c r="D59" s="11" t="s">
        <v>20</v>
      </c>
      <c r="E59" s="25" t="s">
        <v>685</v>
      </c>
      <c r="F59" s="36" t="str">
        <f>+_xlfn.XLOOKUP(E59,Data_Cleaning!$B$6:$B$50,Data_Cleaning!$C$6:$C$50)</f>
        <v>Barcelona​</v>
      </c>
      <c r="G59" s="40" t="s">
        <v>775</v>
      </c>
      <c r="H59" s="24" t="str">
        <f>+_xlfn.XLOOKUP(G59,Data_Cleaning!$J$6:$J$11,Data_Cleaning!$K$6:$K$11)</f>
        <v>Arts and Humanities</v>
      </c>
      <c r="I59" s="12">
        <v>5000</v>
      </c>
      <c r="J59" s="12">
        <v>5000</v>
      </c>
      <c r="K59" s="12">
        <v>5000</v>
      </c>
      <c r="L59" s="12">
        <v>5000</v>
      </c>
    </row>
    <row r="60" spans="1:12" ht="15" customHeight="1">
      <c r="A60" s="2"/>
      <c r="B60" s="10">
        <v>21133</v>
      </c>
      <c r="C60" s="22" t="s">
        <v>357</v>
      </c>
      <c r="D60" s="11" t="s">
        <v>20</v>
      </c>
      <c r="E60" s="25" t="s">
        <v>685</v>
      </c>
      <c r="F60" s="36" t="str">
        <f>+_xlfn.XLOOKUP(E60,Data_Cleaning!$B$6:$B$50,Data_Cleaning!$C$6:$C$50)</f>
        <v>Barcelona​</v>
      </c>
      <c r="G60" s="36" t="s">
        <v>775</v>
      </c>
      <c r="H60" s="24" t="str">
        <f>+_xlfn.XLOOKUP(G60,Data_Cleaning!$J$6:$J$11,Data_Cleaning!$K$6:$K$11)</f>
        <v>Arts and Humanities</v>
      </c>
      <c r="I60" s="12">
        <v>5000</v>
      </c>
      <c r="J60" s="12">
        <v>5000</v>
      </c>
      <c r="K60" s="12">
        <v>5000</v>
      </c>
      <c r="L60" s="12">
        <v>5000</v>
      </c>
    </row>
    <row r="61" spans="1:12" ht="15" customHeight="1">
      <c r="A61" s="2"/>
      <c r="B61" s="10">
        <v>21144</v>
      </c>
      <c r="C61" s="22" t="s">
        <v>358</v>
      </c>
      <c r="D61" s="11" t="s">
        <v>20</v>
      </c>
      <c r="E61" s="25" t="s">
        <v>685</v>
      </c>
      <c r="F61" s="36" t="str">
        <f>+_xlfn.XLOOKUP(E61,Data_Cleaning!$B$6:$B$50,Data_Cleaning!$C$6:$C$50)</f>
        <v>Barcelona​</v>
      </c>
      <c r="G61" s="36" t="s">
        <v>775</v>
      </c>
      <c r="H61" s="24" t="str">
        <f>+_xlfn.XLOOKUP(G61,Data_Cleaning!$J$6:$J$11,Data_Cleaning!$K$6:$K$11)</f>
        <v>Arts and Humanities</v>
      </c>
      <c r="I61" s="12">
        <v>5000</v>
      </c>
      <c r="J61" s="12">
        <v>5000</v>
      </c>
      <c r="K61" s="12">
        <v>5000</v>
      </c>
      <c r="L61" s="12">
        <v>5000</v>
      </c>
    </row>
    <row r="62" spans="1:12" ht="15" customHeight="1">
      <c r="A62" s="2"/>
      <c r="B62" s="10">
        <v>91062</v>
      </c>
      <c r="C62" s="22" t="s">
        <v>364</v>
      </c>
      <c r="D62" s="11" t="s">
        <v>28</v>
      </c>
      <c r="E62" s="25" t="s">
        <v>692</v>
      </c>
      <c r="F62" s="36" t="str">
        <f>+_xlfn.XLOOKUP(E62,Data_Cleaning!$B$6:$B$50,Data_Cleaning!$C$6:$C$50)</f>
        <v>Barcelona​</v>
      </c>
      <c r="G62" s="36" t="s">
        <v>775</v>
      </c>
      <c r="H62" s="24" t="str">
        <f>+_xlfn.XLOOKUP(G62,Data_Cleaning!$J$6:$J$11,Data_Cleaning!$K$6:$K$11)</f>
        <v>Arts and Humanities</v>
      </c>
      <c r="I62" s="12">
        <v>5000</v>
      </c>
      <c r="J62" s="12">
        <v>5000</v>
      </c>
      <c r="K62" s="12">
        <v>5000</v>
      </c>
      <c r="L62" s="12">
        <v>5000</v>
      </c>
    </row>
    <row r="63" spans="1:12" ht="15" customHeight="1">
      <c r="A63" s="2"/>
      <c r="B63" s="10">
        <v>21148</v>
      </c>
      <c r="C63" s="23" t="s">
        <v>665</v>
      </c>
      <c r="D63" s="11" t="s">
        <v>20</v>
      </c>
      <c r="E63" s="25" t="s">
        <v>685</v>
      </c>
      <c r="F63" s="36" t="str">
        <f>+_xlfn.XLOOKUP(E63,Data_Cleaning!$B$6:$B$50,Data_Cleaning!$C$6:$C$50)</f>
        <v>Barcelona​</v>
      </c>
      <c r="G63" s="36" t="s">
        <v>775</v>
      </c>
      <c r="H63" s="24" t="str">
        <f>+_xlfn.XLOOKUP(G63,Data_Cleaning!$J$6:$J$11,Data_Cleaning!$K$6:$K$11)</f>
        <v>Arts and Humanities</v>
      </c>
      <c r="I63" s="12">
        <v>5000</v>
      </c>
      <c r="J63" s="12">
        <v>5188</v>
      </c>
      <c r="K63" s="12">
        <v>5000</v>
      </c>
      <c r="L63" s="12">
        <v>5000</v>
      </c>
    </row>
    <row r="64" spans="1:12" ht="15" customHeight="1">
      <c r="A64" s="2"/>
      <c r="B64" s="10">
        <v>11023</v>
      </c>
      <c r="C64" s="22" t="s">
        <v>368</v>
      </c>
      <c r="D64" s="11" t="s">
        <v>16</v>
      </c>
      <c r="E64" s="25" t="s">
        <v>684</v>
      </c>
      <c r="F64" s="36" t="str">
        <f>+_xlfn.XLOOKUP(E64,Data_Cleaning!$B$6:$B$50,Data_Cleaning!$C$6:$C$50)</f>
        <v>Barcelona​</v>
      </c>
      <c r="G64" s="36" t="s">
        <v>775</v>
      </c>
      <c r="H64" s="24" t="str">
        <f>+_xlfn.XLOOKUP(G64,Data_Cleaning!$J$6:$J$11,Data_Cleaning!$K$6:$K$11)</f>
        <v>Arts and Humanities</v>
      </c>
      <c r="I64" s="12">
        <v>5000</v>
      </c>
      <c r="J64" s="12">
        <v>5000</v>
      </c>
      <c r="K64" s="12">
        <v>5000</v>
      </c>
      <c r="L64" s="12">
        <v>8167</v>
      </c>
    </row>
    <row r="65" spans="1:12" ht="15" customHeight="1">
      <c r="A65" s="2"/>
      <c r="B65" s="10">
        <v>81070</v>
      </c>
      <c r="C65" s="22" t="s">
        <v>372</v>
      </c>
      <c r="D65" s="11" t="s">
        <v>23</v>
      </c>
      <c r="E65" s="25" t="s">
        <v>686</v>
      </c>
      <c r="F65" s="36" t="str">
        <f>+_xlfn.XLOOKUP(E65,Data_Cleaning!$B$6:$B$50,Data_Cleaning!$C$6:$C$50)</f>
        <v>Girona​</v>
      </c>
      <c r="G65" s="36" t="str" cm="1">
        <f t="array" ref="G65">_xlfn.XLOOKUP(TRUE,ISNUMBER(SEARCH(Data_Cleaning!$F$6:$F$36,C65)),Data_Cleaning!$G$6:$G$36,"Other",0)</f>
        <v>Arts and Humanities</v>
      </c>
      <c r="H65" s="24" t="str">
        <f>+_xlfn.XLOOKUP(G65,Data_Cleaning!$J$6:$J$11,Data_Cleaning!$K$6:$K$11)</f>
        <v>Arts and Humanities</v>
      </c>
      <c r="I65" s="12">
        <v>5000</v>
      </c>
      <c r="J65" s="12">
        <v>5000</v>
      </c>
      <c r="K65" s="12">
        <v>5000</v>
      </c>
      <c r="L65" s="12">
        <v>7333</v>
      </c>
    </row>
    <row r="66" spans="1:12" ht="15" customHeight="1">
      <c r="A66" s="2"/>
      <c r="B66" s="10">
        <v>21134</v>
      </c>
      <c r="C66" s="22" t="s">
        <v>373</v>
      </c>
      <c r="D66" s="11" t="s">
        <v>20</v>
      </c>
      <c r="E66" s="25" t="s">
        <v>685</v>
      </c>
      <c r="F66" s="36" t="str">
        <f>+_xlfn.XLOOKUP(E66,Data_Cleaning!$B$6:$B$50,Data_Cleaning!$C$6:$C$50)</f>
        <v>Barcelona​</v>
      </c>
      <c r="G66" s="36" t="str" cm="1">
        <f t="array" ref="G66">_xlfn.XLOOKUP(TRUE,ISNUMBER(SEARCH(Data_Cleaning!$F$6:$F$36,C66)),Data_Cleaning!$G$6:$G$36,"Other",0)</f>
        <v>Arts and Humanities</v>
      </c>
      <c r="H66" s="24" t="str">
        <f>+_xlfn.XLOOKUP(G66,Data_Cleaning!$J$6:$J$11,Data_Cleaning!$K$6:$K$11)</f>
        <v>Arts and Humanities</v>
      </c>
      <c r="I66" s="12">
        <v>5000</v>
      </c>
      <c r="J66" s="12">
        <v>5000</v>
      </c>
      <c r="K66" s="12">
        <v>5000</v>
      </c>
      <c r="L66" s="12">
        <v>5000</v>
      </c>
    </row>
    <row r="67" spans="1:12" ht="15" customHeight="1">
      <c r="A67" s="2"/>
      <c r="B67" s="10">
        <v>61055</v>
      </c>
      <c r="C67" s="22" t="s">
        <v>374</v>
      </c>
      <c r="D67" s="11" t="s">
        <v>25</v>
      </c>
      <c r="E67" s="25" t="s">
        <v>688</v>
      </c>
      <c r="F67" s="36" t="str">
        <f>+_xlfn.XLOOKUP(E67,Data_Cleaning!$B$6:$B$50,Data_Cleaning!$C$6:$C$50)</f>
        <v>Lleida​</v>
      </c>
      <c r="G67" s="36" t="str" cm="1">
        <f t="array" ref="G67">_xlfn.XLOOKUP(TRUE,ISNUMBER(SEARCH(Data_Cleaning!$F$6:$F$36,C67)),Data_Cleaning!$G$6:$G$36,"Other",0)</f>
        <v>Arts and Humanities</v>
      </c>
      <c r="H67" s="24" t="str">
        <f>+_xlfn.XLOOKUP(G67,Data_Cleaning!$J$6:$J$11,Data_Cleaning!$K$6:$K$11)</f>
        <v>Arts and Humanities</v>
      </c>
      <c r="I67" s="12">
        <v>5000</v>
      </c>
      <c r="J67" s="12">
        <v>5000</v>
      </c>
      <c r="K67" s="12">
        <v>5000</v>
      </c>
      <c r="L67" s="12">
        <v>5000</v>
      </c>
    </row>
    <row r="68" spans="1:12" ht="15" customHeight="1">
      <c r="A68" s="2"/>
      <c r="B68" s="10">
        <v>61058</v>
      </c>
      <c r="C68" s="23" t="s">
        <v>667</v>
      </c>
      <c r="D68" s="11" t="s">
        <v>25</v>
      </c>
      <c r="E68" s="25" t="s">
        <v>688</v>
      </c>
      <c r="F68" s="36" t="str">
        <f>+_xlfn.XLOOKUP(E68,Data_Cleaning!$B$6:$B$50,Data_Cleaning!$C$6:$C$50)</f>
        <v>Lleida​</v>
      </c>
      <c r="G68" s="36" t="str" cm="1">
        <f t="array" ref="G68">_xlfn.XLOOKUP(TRUE,ISNUMBER(SEARCH(Data_Cleaning!$F$6:$F$36,C68)),Data_Cleaning!$G$6:$G$36,"Other",0)</f>
        <v>Double Degree</v>
      </c>
      <c r="H68" s="24" t="s">
        <v>775</v>
      </c>
      <c r="I68" s="12">
        <v>5000</v>
      </c>
      <c r="J68" s="12">
        <v>5000</v>
      </c>
      <c r="K68" s="12">
        <v>5000</v>
      </c>
      <c r="L68" s="12">
        <v>5000</v>
      </c>
    </row>
    <row r="69" spans="1:12" ht="15" customHeight="1">
      <c r="A69" s="2"/>
      <c r="B69" s="10">
        <v>11026</v>
      </c>
      <c r="C69" s="22" t="s">
        <v>377</v>
      </c>
      <c r="D69" s="11" t="s">
        <v>16</v>
      </c>
      <c r="E69" s="25" t="s">
        <v>684</v>
      </c>
      <c r="F69" s="36" t="str">
        <f>+_xlfn.XLOOKUP(E69,Data_Cleaning!$B$6:$B$50,Data_Cleaning!$C$6:$C$50)</f>
        <v>Barcelona​</v>
      </c>
      <c r="G69" s="36" t="str" cm="1">
        <f t="array" ref="G69">_xlfn.XLOOKUP(TRUE,ISNUMBER(SEARCH(Data_Cleaning!$F$6:$F$36,C69)),Data_Cleaning!$G$6:$G$36,"Other",0)</f>
        <v>Arts and Humanities</v>
      </c>
      <c r="H69" s="24" t="str">
        <f>+_xlfn.XLOOKUP(G69,Data_Cleaning!$J$6:$J$11,Data_Cleaning!$K$6:$K$11)</f>
        <v>Arts and Humanities</v>
      </c>
      <c r="I69" s="12">
        <v>5000</v>
      </c>
      <c r="J69" s="12">
        <v>5000</v>
      </c>
      <c r="K69" s="12">
        <v>5000</v>
      </c>
      <c r="L69" s="12">
        <v>8167</v>
      </c>
    </row>
    <row r="70" spans="1:12" ht="15" customHeight="1">
      <c r="A70" s="2"/>
      <c r="B70" s="10">
        <v>11027</v>
      </c>
      <c r="C70" s="22" t="s">
        <v>378</v>
      </c>
      <c r="D70" s="11" t="s">
        <v>16</v>
      </c>
      <c r="E70" s="25" t="s">
        <v>684</v>
      </c>
      <c r="F70" s="36" t="str">
        <f>+_xlfn.XLOOKUP(E70,Data_Cleaning!$B$6:$B$50,Data_Cleaning!$C$6:$C$50)</f>
        <v>Barcelona​</v>
      </c>
      <c r="G70" s="36" t="str" cm="1">
        <f t="array" ref="G70">_xlfn.XLOOKUP(TRUE,ISNUMBER(SEARCH(Data_Cleaning!$F$6:$F$36,C70)),Data_Cleaning!$G$6:$G$36,"Other",0)</f>
        <v>Arts and Humanities</v>
      </c>
      <c r="H70" s="24" t="str">
        <f>+_xlfn.XLOOKUP(G70,Data_Cleaning!$J$6:$J$11,Data_Cleaning!$K$6:$K$11)</f>
        <v>Arts and Humanities</v>
      </c>
      <c r="I70" s="12">
        <v>5000</v>
      </c>
      <c r="J70" s="12">
        <v>5000</v>
      </c>
      <c r="K70" s="12">
        <v>5000</v>
      </c>
      <c r="L70" s="12">
        <v>5000</v>
      </c>
    </row>
    <row r="71" spans="1:12" ht="15" customHeight="1">
      <c r="A71" s="2"/>
      <c r="B71" s="10">
        <v>81071</v>
      </c>
      <c r="C71" s="22" t="s">
        <v>379</v>
      </c>
      <c r="D71" s="11" t="s">
        <v>23</v>
      </c>
      <c r="E71" s="25" t="s">
        <v>686</v>
      </c>
      <c r="F71" s="36" t="str">
        <f>+_xlfn.XLOOKUP(E71,Data_Cleaning!$B$6:$B$50,Data_Cleaning!$C$6:$C$50)</f>
        <v>Girona​</v>
      </c>
      <c r="G71" s="36" t="str" cm="1">
        <f t="array" ref="G71">_xlfn.XLOOKUP(TRUE,ISNUMBER(SEARCH(Data_Cleaning!$F$6:$F$36,C71)),Data_Cleaning!$G$6:$G$36,"Other",0)</f>
        <v>Arts and Humanities</v>
      </c>
      <c r="H71" s="24" t="str">
        <f>+_xlfn.XLOOKUP(G71,Data_Cleaning!$J$6:$J$11,Data_Cleaning!$K$6:$K$11)</f>
        <v>Arts and Humanities</v>
      </c>
      <c r="I71" s="12">
        <v>5000</v>
      </c>
      <c r="J71" s="12">
        <v>5000</v>
      </c>
      <c r="K71" s="12">
        <v>5000</v>
      </c>
      <c r="L71" s="12">
        <v>5000</v>
      </c>
    </row>
    <row r="72" spans="1:12" ht="15" customHeight="1">
      <c r="B72" s="10">
        <v>61079</v>
      </c>
      <c r="C72" s="22" t="s">
        <v>380</v>
      </c>
      <c r="D72" s="11" t="s">
        <v>25</v>
      </c>
      <c r="E72" s="25" t="s">
        <v>688</v>
      </c>
      <c r="F72" s="36" t="str">
        <f>+_xlfn.XLOOKUP(E72,Data_Cleaning!$B$6:$B$50,Data_Cleaning!$C$6:$C$50)</f>
        <v>Lleida​</v>
      </c>
      <c r="G72" s="40" t="str" cm="1">
        <f t="array" ref="G72">_xlfn.XLOOKUP(TRUE,ISNUMBER(SEARCH(Data_Cleaning!$F$6:$F$36,C72)),Data_Cleaning!$G$6:$G$36,"Other",0)</f>
        <v>Arts and Humanities</v>
      </c>
      <c r="H72" s="24" t="str">
        <f>+_xlfn.XLOOKUP(G72,Data_Cleaning!$J$6:$J$11,Data_Cleaning!$K$6:$K$11)</f>
        <v>Arts and Humanities</v>
      </c>
      <c r="I72" s="12">
        <v>5000</v>
      </c>
      <c r="J72" s="12">
        <v>5000</v>
      </c>
      <c r="K72" s="12">
        <v>5000</v>
      </c>
      <c r="L72" s="12">
        <v>5000</v>
      </c>
    </row>
    <row r="73" spans="1:12" ht="15" customHeight="1">
      <c r="B73" s="10">
        <v>61080</v>
      </c>
      <c r="C73" s="22" t="s">
        <v>381</v>
      </c>
      <c r="D73" s="11" t="s">
        <v>25</v>
      </c>
      <c r="E73" s="25" t="s">
        <v>688</v>
      </c>
      <c r="F73" s="36" t="str">
        <f>+_xlfn.XLOOKUP(E73,Data_Cleaning!$B$6:$B$50,Data_Cleaning!$C$6:$C$50)</f>
        <v>Lleida​</v>
      </c>
      <c r="G73" s="40" t="str" cm="1">
        <f t="array" ref="G73">_xlfn.XLOOKUP(TRUE,ISNUMBER(SEARCH(Data_Cleaning!$F$6:$F$36,C73)),Data_Cleaning!$G$6:$G$36,"Other",0)</f>
        <v>Double Degree</v>
      </c>
      <c r="H73" s="24" t="s">
        <v>775</v>
      </c>
      <c r="I73" s="12">
        <v>5000</v>
      </c>
      <c r="J73" s="12">
        <v>6125</v>
      </c>
      <c r="K73" s="12">
        <v>5000</v>
      </c>
      <c r="L73" s="12">
        <v>5000</v>
      </c>
    </row>
    <row r="74" spans="1:12" ht="15" customHeight="1">
      <c r="B74" s="10">
        <v>21032</v>
      </c>
      <c r="C74" s="22" t="s">
        <v>383</v>
      </c>
      <c r="D74" s="11" t="s">
        <v>20</v>
      </c>
      <c r="E74" s="25" t="s">
        <v>685</v>
      </c>
      <c r="F74" s="36" t="str">
        <f>+_xlfn.XLOOKUP(E74,Data_Cleaning!$B$6:$B$50,Data_Cleaning!$C$6:$C$50)</f>
        <v>Barcelona​</v>
      </c>
      <c r="G74" s="40" t="s">
        <v>775</v>
      </c>
      <c r="H74" s="24" t="str">
        <f>+_xlfn.XLOOKUP(G74,Data_Cleaning!$J$6:$J$11,Data_Cleaning!$K$6:$K$11)</f>
        <v>Arts and Humanities</v>
      </c>
      <c r="I74" s="12">
        <v>5000</v>
      </c>
      <c r="J74" s="12">
        <v>5000</v>
      </c>
      <c r="K74" s="12">
        <v>5000</v>
      </c>
      <c r="L74" s="12">
        <v>6500</v>
      </c>
    </row>
    <row r="75" spans="1:12" ht="15" customHeight="1">
      <c r="B75" s="10">
        <v>81072</v>
      </c>
      <c r="C75" s="22" t="s">
        <v>384</v>
      </c>
      <c r="D75" s="11" t="s">
        <v>23</v>
      </c>
      <c r="E75" s="25" t="s">
        <v>686</v>
      </c>
      <c r="F75" s="36" t="str">
        <f>+_xlfn.XLOOKUP(E75,Data_Cleaning!$B$6:$B$50,Data_Cleaning!$C$6:$C$50)</f>
        <v>Girona​</v>
      </c>
      <c r="G75" s="40" t="s">
        <v>775</v>
      </c>
      <c r="H75" s="24" t="str">
        <f>+_xlfn.XLOOKUP(G75,Data_Cleaning!$J$6:$J$11,Data_Cleaning!$K$6:$K$11)</f>
        <v>Arts and Humanities</v>
      </c>
      <c r="I75" s="12">
        <v>5000</v>
      </c>
      <c r="J75" s="12">
        <v>5000</v>
      </c>
      <c r="K75" s="12">
        <v>5000</v>
      </c>
      <c r="L75" s="12">
        <v>7667</v>
      </c>
    </row>
    <row r="76" spans="1:12" ht="15" customHeight="1">
      <c r="B76" s="10">
        <v>61026</v>
      </c>
      <c r="C76" s="22" t="s">
        <v>408</v>
      </c>
      <c r="D76" s="11" t="s">
        <v>25</v>
      </c>
      <c r="E76" s="25" t="s">
        <v>688</v>
      </c>
      <c r="F76" s="36" t="str">
        <f>+_xlfn.XLOOKUP(E76,Data_Cleaning!$B$6:$B$50,Data_Cleaning!$C$6:$C$50)</f>
        <v>Lleida​</v>
      </c>
      <c r="G76" s="40" t="s">
        <v>762</v>
      </c>
      <c r="H76" s="24" t="str">
        <f>+_xlfn.XLOOKUP(G76,Data_Cleaning!$J$6:$J$11,Data_Cleaning!$K$6:$K$11)</f>
        <v>Social Sciences</v>
      </c>
      <c r="I76" s="12">
        <v>5000</v>
      </c>
      <c r="J76" s="12">
        <v>5000</v>
      </c>
      <c r="K76" s="12">
        <v>5000</v>
      </c>
      <c r="L76" s="12">
        <v>5000</v>
      </c>
    </row>
    <row r="77" spans="1:12" ht="15" customHeight="1">
      <c r="B77" s="10">
        <v>71015</v>
      </c>
      <c r="C77" s="22" t="s">
        <v>410</v>
      </c>
      <c r="D77" s="11" t="s">
        <v>18</v>
      </c>
      <c r="E77" s="25" t="s">
        <v>719</v>
      </c>
      <c r="F77" s="36" t="str">
        <f>+_xlfn.XLOOKUP(E77,Data_Cleaning!$B$6:$B$50,Data_Cleaning!$C$6:$C$50)</f>
        <v>Tarragona​</v>
      </c>
      <c r="G77" s="40" t="s">
        <v>762</v>
      </c>
      <c r="H77" s="24" t="str">
        <f>+_xlfn.XLOOKUP(G77,Data_Cleaning!$J$6:$J$11,Data_Cleaning!$K$6:$K$11)</f>
        <v>Social Sciences</v>
      </c>
      <c r="I77" s="12">
        <v>5000</v>
      </c>
      <c r="J77" s="12">
        <v>5000</v>
      </c>
      <c r="K77" s="12">
        <v>5000</v>
      </c>
      <c r="L77" s="12">
        <v>5000</v>
      </c>
    </row>
    <row r="78" spans="1:12" ht="15" customHeight="1">
      <c r="B78" s="10">
        <v>21124</v>
      </c>
      <c r="C78" s="22" t="s">
        <v>411</v>
      </c>
      <c r="D78" s="11" t="s">
        <v>20</v>
      </c>
      <c r="E78" s="25" t="s">
        <v>685</v>
      </c>
      <c r="F78" s="36" t="str">
        <f>+_xlfn.XLOOKUP(E78,Data_Cleaning!$B$6:$B$50,Data_Cleaning!$C$6:$C$50)</f>
        <v>Barcelona​</v>
      </c>
      <c r="G78" s="36" t="s">
        <v>762</v>
      </c>
      <c r="H78" s="24" t="str">
        <f>+_xlfn.XLOOKUP(G78,Data_Cleaning!$J$6:$J$11,Data_Cleaning!$K$6:$K$11)</f>
        <v>Social Sciences</v>
      </c>
      <c r="I78" s="12">
        <v>5000</v>
      </c>
      <c r="J78" s="12">
        <v>5000</v>
      </c>
      <c r="K78" s="12">
        <v>5000</v>
      </c>
      <c r="L78" s="12">
        <v>5000</v>
      </c>
    </row>
    <row r="79" spans="1:12" ht="15" customHeight="1">
      <c r="B79" s="10">
        <v>81073</v>
      </c>
      <c r="C79" s="22" t="s">
        <v>412</v>
      </c>
      <c r="D79" s="11" t="s">
        <v>23</v>
      </c>
      <c r="E79" s="25" t="s">
        <v>686</v>
      </c>
      <c r="F79" s="36" t="str">
        <f>+_xlfn.XLOOKUP(E79,Data_Cleaning!$B$6:$B$50,Data_Cleaning!$C$6:$C$50)</f>
        <v>Girona​</v>
      </c>
      <c r="G79" s="40" t="s">
        <v>762</v>
      </c>
      <c r="H79" s="24" t="str">
        <f>+_xlfn.XLOOKUP(G79,Data_Cleaning!$J$6:$J$11,Data_Cleaning!$K$6:$K$11)</f>
        <v>Social Sciences</v>
      </c>
      <c r="I79" s="12">
        <v>5000</v>
      </c>
      <c r="J79" s="12">
        <v>5000</v>
      </c>
      <c r="K79" s="12">
        <v>5000</v>
      </c>
      <c r="L79" s="12">
        <v>5000</v>
      </c>
    </row>
    <row r="80" spans="1:12" ht="15" customHeight="1">
      <c r="B80" s="10">
        <v>91060</v>
      </c>
      <c r="C80" s="22" t="s">
        <v>418</v>
      </c>
      <c r="D80" s="11" t="s">
        <v>28</v>
      </c>
      <c r="E80" s="25" t="s">
        <v>689</v>
      </c>
      <c r="F80" s="36" t="str">
        <f>+_xlfn.XLOOKUP(E80,Data_Cleaning!$B$6:$B$50,Data_Cleaning!$C$6:$C$50)</f>
        <v>Barcelona​</v>
      </c>
      <c r="G80" s="36" t="s">
        <v>753</v>
      </c>
      <c r="H80" s="24" t="str">
        <f>+_xlfn.XLOOKUP(G80,Data_Cleaning!$J$6:$J$11,Data_Cleaning!$K$6:$K$11)</f>
        <v>Science and Technology</v>
      </c>
      <c r="I80" s="12">
        <v>5000</v>
      </c>
      <c r="J80" s="12">
        <v>5000</v>
      </c>
      <c r="K80" s="12">
        <v>5000</v>
      </c>
      <c r="L80" s="12">
        <v>5000</v>
      </c>
    </row>
    <row r="81" spans="2:12" ht="15" customHeight="1">
      <c r="B81" s="10">
        <v>71068</v>
      </c>
      <c r="C81" s="22" t="s">
        <v>419</v>
      </c>
      <c r="D81" s="11" t="s">
        <v>18</v>
      </c>
      <c r="E81" s="25" t="s">
        <v>719</v>
      </c>
      <c r="F81" s="36" t="str">
        <f>+_xlfn.XLOOKUP(E81,Data_Cleaning!$B$6:$B$50,Data_Cleaning!$C$6:$C$50)</f>
        <v>Tarragona​</v>
      </c>
      <c r="G81" s="36" t="str" cm="1">
        <f t="array" ref="G81">_xlfn.XLOOKUP(TRUE,ISNUMBER(SEARCH(Data_Cleaning!$F$6:$F$36,C81)),Data_Cleaning!$G$6:$G$36,"Other",0)</f>
        <v>Social Sciences and Law</v>
      </c>
      <c r="H81" s="24" t="str">
        <f>+_xlfn.XLOOKUP(G81,Data_Cleaning!$J$6:$J$11,Data_Cleaning!$K$6:$K$11)</f>
        <v>Social Sciences</v>
      </c>
      <c r="I81" s="12">
        <v>5000</v>
      </c>
      <c r="J81" s="12">
        <v>5000</v>
      </c>
      <c r="K81" s="12">
        <v>6330</v>
      </c>
      <c r="L81" s="12">
        <v>6333</v>
      </c>
    </row>
    <row r="82" spans="2:12" ht="15" customHeight="1">
      <c r="B82" s="10">
        <v>31135</v>
      </c>
      <c r="C82" s="22" t="s">
        <v>421</v>
      </c>
      <c r="D82" s="11" t="s">
        <v>58</v>
      </c>
      <c r="E82" s="25" t="s">
        <v>684</v>
      </c>
      <c r="F82" s="36" t="str">
        <f>+_xlfn.XLOOKUP(E82,Data_Cleaning!$B$6:$B$50,Data_Cleaning!$C$6:$C$50)</f>
        <v>Barcelona​</v>
      </c>
      <c r="G82" s="40" t="s">
        <v>768</v>
      </c>
      <c r="H82" s="24" t="str">
        <f>+_xlfn.XLOOKUP(G82,Data_Cleaning!$J$6:$J$11,Data_Cleaning!$K$6:$K$11)</f>
        <v>Science and Technology</v>
      </c>
      <c r="I82" s="12">
        <v>5000</v>
      </c>
      <c r="J82" s="12">
        <v>5000</v>
      </c>
      <c r="K82" s="12">
        <v>5000</v>
      </c>
      <c r="L82" s="12">
        <v>5000</v>
      </c>
    </row>
    <row r="83" spans="2:12" ht="15" customHeight="1">
      <c r="B83" s="10">
        <v>31137</v>
      </c>
      <c r="C83" s="23" t="s">
        <v>670</v>
      </c>
      <c r="D83" s="11" t="s">
        <v>58</v>
      </c>
      <c r="E83" s="25" t="s">
        <v>684</v>
      </c>
      <c r="F83" s="36" t="str">
        <f>+_xlfn.XLOOKUP(E83,Data_Cleaning!$B$6:$B$50,Data_Cleaning!$C$6:$C$50)</f>
        <v>Barcelona​</v>
      </c>
      <c r="G83" s="40" t="str" cm="1">
        <f t="array" ref="G83">_xlfn.XLOOKUP(TRUE,ISNUMBER(SEARCH(Data_Cleaning!$F$6:$F$36,C83)),Data_Cleaning!$G$6:$G$36,"Other",0)</f>
        <v>Double Degree</v>
      </c>
      <c r="H83" s="24" t="s">
        <v>795</v>
      </c>
      <c r="I83" s="12">
        <v>5000</v>
      </c>
      <c r="J83" s="12">
        <v>5000</v>
      </c>
      <c r="K83" s="12">
        <v>5000</v>
      </c>
      <c r="L83" s="12">
        <v>5000</v>
      </c>
    </row>
    <row r="84" spans="2:12" ht="15" customHeight="1">
      <c r="B84" s="153">
        <v>11118</v>
      </c>
      <c r="C84" s="23" t="s">
        <v>594</v>
      </c>
      <c r="D84" s="155" t="s">
        <v>16</v>
      </c>
      <c r="E84" s="25" t="s">
        <v>684</v>
      </c>
      <c r="F84" s="36" t="str">
        <f>+_xlfn.XLOOKUP(E84,Data_Cleaning!$B$6:$B$50,Data_Cleaning!$C$6:$C$50)</f>
        <v>Barcelona​</v>
      </c>
      <c r="G84" s="40" t="str" cm="1">
        <f t="array" ref="G84">_xlfn.XLOOKUP(TRUE,ISNUMBER(SEARCH(Data_Cleaning!$F$6:$F$36,C84)),Data_Cleaning!$G$6:$G$36,"Other",0)</f>
        <v>Social Sciences and Law</v>
      </c>
      <c r="H84" s="24" t="str">
        <f>+_xlfn.XLOOKUP(G84,Data_Cleaning!$J$6:$J$11,Data_Cleaning!$K$6:$K$11)</f>
        <v>Social Sciences</v>
      </c>
      <c r="I84" s="156">
        <v>5000</v>
      </c>
      <c r="J84" s="156">
        <v>5000</v>
      </c>
      <c r="K84" s="156">
        <v>5000</v>
      </c>
      <c r="L84" s="156">
        <v>5000</v>
      </c>
    </row>
    <row r="85" spans="2:12" ht="15" customHeight="1">
      <c r="B85" s="10">
        <v>11035</v>
      </c>
      <c r="C85" s="22" t="s">
        <v>426</v>
      </c>
      <c r="D85" s="11" t="s">
        <v>16</v>
      </c>
      <c r="E85" s="25" t="s">
        <v>684</v>
      </c>
      <c r="F85" s="36" t="str">
        <f>+_xlfn.XLOOKUP(E85,Data_Cleaning!$B$6:$B$50,Data_Cleaning!$C$6:$C$50)</f>
        <v>Barcelona​</v>
      </c>
      <c r="G85" s="40" t="str" cm="1">
        <f t="array" ref="G85">_xlfn.XLOOKUP(TRUE,ISNUMBER(SEARCH(Data_Cleaning!$F$6:$F$36,C85)),Data_Cleaning!$G$6:$G$36,"Other",0)</f>
        <v>Arts and Humanities</v>
      </c>
      <c r="H85" s="24" t="str">
        <f>+_xlfn.XLOOKUP(G85,Data_Cleaning!$J$6:$J$11,Data_Cleaning!$K$6:$K$11)</f>
        <v>Arts and Humanities</v>
      </c>
      <c r="I85" s="12">
        <v>5000</v>
      </c>
      <c r="J85" s="12">
        <v>5000</v>
      </c>
      <c r="K85" s="12">
        <v>5000</v>
      </c>
      <c r="L85" s="12">
        <v>5000</v>
      </c>
    </row>
    <row r="86" spans="2:12" ht="15" customHeight="1">
      <c r="B86" s="10">
        <v>21040</v>
      </c>
      <c r="C86" s="22" t="s">
        <v>427</v>
      </c>
      <c r="D86" s="11" t="s">
        <v>20</v>
      </c>
      <c r="E86" s="25" t="s">
        <v>685</v>
      </c>
      <c r="F86" s="36" t="str">
        <f>+_xlfn.XLOOKUP(E86,Data_Cleaning!$B$6:$B$50,Data_Cleaning!$C$6:$C$50)</f>
        <v>Barcelona​</v>
      </c>
      <c r="G86" s="36" t="str" cm="1">
        <f t="array" ref="G86">_xlfn.XLOOKUP(TRUE,ISNUMBER(SEARCH(Data_Cleaning!$F$6:$F$36,C86)),Data_Cleaning!$G$6:$G$36,"Other",0)</f>
        <v>Arts and Humanities</v>
      </c>
      <c r="H86" s="24" t="str">
        <f>+_xlfn.XLOOKUP(G86,Data_Cleaning!$J$6:$J$11,Data_Cleaning!$K$6:$K$11)</f>
        <v>Arts and Humanities</v>
      </c>
      <c r="I86" s="12">
        <v>5000</v>
      </c>
      <c r="J86" s="12">
        <v>5000</v>
      </c>
      <c r="K86" s="12">
        <v>5000</v>
      </c>
      <c r="L86" s="12">
        <v>5333</v>
      </c>
    </row>
    <row r="87" spans="2:12" ht="15" customHeight="1">
      <c r="B87" s="10">
        <v>81074</v>
      </c>
      <c r="C87" s="22" t="s">
        <v>428</v>
      </c>
      <c r="D87" s="11" t="s">
        <v>23</v>
      </c>
      <c r="E87" s="25" t="s">
        <v>686</v>
      </c>
      <c r="F87" s="36" t="str">
        <f>+_xlfn.XLOOKUP(E87,Data_Cleaning!$B$6:$B$50,Data_Cleaning!$C$6:$C$50)</f>
        <v>Girona​</v>
      </c>
      <c r="G87" s="36" t="str" cm="1">
        <f t="array" ref="G87">_xlfn.XLOOKUP(TRUE,ISNUMBER(SEARCH(Data_Cleaning!$F$6:$F$36,C87)),Data_Cleaning!$G$6:$G$36,"Other",0)</f>
        <v>Arts and Humanities</v>
      </c>
      <c r="H87" s="24" t="str">
        <f>+_xlfn.XLOOKUP(G87,Data_Cleaning!$J$6:$J$11,Data_Cleaning!$K$6:$K$11)</f>
        <v>Arts and Humanities</v>
      </c>
      <c r="I87" s="12">
        <v>5000</v>
      </c>
      <c r="J87" s="12">
        <v>5000</v>
      </c>
      <c r="K87" s="12">
        <v>5000</v>
      </c>
      <c r="L87" s="12">
        <v>5000</v>
      </c>
    </row>
    <row r="88" spans="2:12" ht="15" customHeight="1">
      <c r="B88" s="10">
        <v>61028</v>
      </c>
      <c r="C88" s="22" t="s">
        <v>429</v>
      </c>
      <c r="D88" s="11" t="s">
        <v>25</v>
      </c>
      <c r="E88" s="25" t="s">
        <v>688</v>
      </c>
      <c r="F88" s="36" t="str">
        <f>+_xlfn.XLOOKUP(E88,Data_Cleaning!$B$6:$B$50,Data_Cleaning!$C$6:$C$50)</f>
        <v>Lleida​</v>
      </c>
      <c r="G88" s="36" t="str" cm="1">
        <f t="array" ref="G88">_xlfn.XLOOKUP(TRUE,ISNUMBER(SEARCH(Data_Cleaning!$F$6:$F$36,C88)),Data_Cleaning!$G$6:$G$36,"Other",0)</f>
        <v>Arts and Humanities</v>
      </c>
      <c r="H88" s="24" t="str">
        <f>+_xlfn.XLOOKUP(G88,Data_Cleaning!$J$6:$J$11,Data_Cleaning!$K$6:$K$11)</f>
        <v>Arts and Humanities</v>
      </c>
      <c r="I88" s="12">
        <v>5000</v>
      </c>
      <c r="J88" s="12">
        <v>5000</v>
      </c>
      <c r="K88" s="12">
        <v>5000</v>
      </c>
      <c r="L88" s="12">
        <v>5000</v>
      </c>
    </row>
    <row r="89" spans="2:12" ht="15" customHeight="1">
      <c r="B89" s="10">
        <v>11034</v>
      </c>
      <c r="C89" s="22" t="s">
        <v>433</v>
      </c>
      <c r="D89" s="11" t="s">
        <v>16</v>
      </c>
      <c r="E89" s="25" t="s">
        <v>684</v>
      </c>
      <c r="F89" s="36" t="str">
        <f>+_xlfn.XLOOKUP(E89,Data_Cleaning!$B$6:$B$50,Data_Cleaning!$C$6:$C$50)</f>
        <v>Barcelona​</v>
      </c>
      <c r="G89" s="40" t="str" cm="1">
        <f t="array" ref="G89">_xlfn.XLOOKUP(TRUE,ISNUMBER(SEARCH(Data_Cleaning!$F$6:$F$36,C89)),Data_Cleaning!$G$6:$G$36,"Other",0)</f>
        <v>Arts and Humanities</v>
      </c>
      <c r="H89" s="24" t="str">
        <f>+_xlfn.XLOOKUP(G89,Data_Cleaning!$J$6:$J$11,Data_Cleaning!$K$6:$K$11)</f>
        <v>Arts and Humanities</v>
      </c>
      <c r="I89" s="12">
        <v>5000</v>
      </c>
      <c r="J89" s="12">
        <v>5000</v>
      </c>
      <c r="K89" s="12">
        <v>5000</v>
      </c>
      <c r="L89" s="12">
        <v>5167</v>
      </c>
    </row>
    <row r="90" spans="2:12" ht="15" customHeight="1">
      <c r="B90" s="10">
        <v>21039</v>
      </c>
      <c r="C90" s="22" t="s">
        <v>434</v>
      </c>
      <c r="D90" s="11" t="s">
        <v>20</v>
      </c>
      <c r="E90" s="25" t="s">
        <v>685</v>
      </c>
      <c r="F90" s="36" t="str">
        <f>+_xlfn.XLOOKUP(E90,Data_Cleaning!$B$6:$B$50,Data_Cleaning!$C$6:$C$50)</f>
        <v>Barcelona​</v>
      </c>
      <c r="G90" s="36" t="str" cm="1">
        <f t="array" ref="G90">_xlfn.XLOOKUP(TRUE,ISNUMBER(SEARCH(Data_Cleaning!$F$6:$F$36,C90)),Data_Cleaning!$G$6:$G$36,"Other",0)</f>
        <v>Arts and Humanities</v>
      </c>
      <c r="H90" s="24" t="str">
        <f>+_xlfn.XLOOKUP(G90,Data_Cleaning!$J$6:$J$11,Data_Cleaning!$K$6:$K$11)</f>
        <v>Arts and Humanities</v>
      </c>
      <c r="I90" s="12">
        <v>5000</v>
      </c>
      <c r="J90" s="12">
        <v>5000</v>
      </c>
      <c r="K90" s="12">
        <v>5000</v>
      </c>
      <c r="L90" s="12">
        <v>5000</v>
      </c>
    </row>
    <row r="91" spans="2:12" ht="15" customHeight="1">
      <c r="B91" s="10">
        <v>81075</v>
      </c>
      <c r="C91" s="22" t="s">
        <v>435</v>
      </c>
      <c r="D91" s="11" t="s">
        <v>23</v>
      </c>
      <c r="E91" s="25" t="s">
        <v>686</v>
      </c>
      <c r="F91" s="36" t="str">
        <f>+_xlfn.XLOOKUP(E91,Data_Cleaning!$B$6:$B$50,Data_Cleaning!$C$6:$C$50)</f>
        <v>Girona​</v>
      </c>
      <c r="G91" s="36" t="str" cm="1">
        <f t="array" ref="G91">_xlfn.XLOOKUP(TRUE,ISNUMBER(SEARCH(Data_Cleaning!$F$6:$F$36,C91)),Data_Cleaning!$G$6:$G$36,"Other",0)</f>
        <v>Arts and Humanities</v>
      </c>
      <c r="H91" s="24" t="str">
        <f>+_xlfn.XLOOKUP(G91,Data_Cleaning!$J$6:$J$11,Data_Cleaning!$K$6:$K$11)</f>
        <v>Arts and Humanities</v>
      </c>
      <c r="I91" s="12">
        <v>5000</v>
      </c>
      <c r="J91" s="12">
        <v>5000</v>
      </c>
      <c r="K91" s="12">
        <v>5000</v>
      </c>
      <c r="L91" s="12">
        <v>5000</v>
      </c>
    </row>
    <row r="92" spans="2:12" ht="15" customHeight="1">
      <c r="B92" s="10">
        <v>61081</v>
      </c>
      <c r="C92" s="22" t="s">
        <v>437</v>
      </c>
      <c r="D92" s="11" t="s">
        <v>25</v>
      </c>
      <c r="E92" s="25" t="s">
        <v>688</v>
      </c>
      <c r="F92" s="36" t="str">
        <f>+_xlfn.XLOOKUP(E92,Data_Cleaning!$B$6:$B$50,Data_Cleaning!$C$6:$C$50)</f>
        <v>Lleida​</v>
      </c>
      <c r="G92" s="36" t="str" cm="1">
        <f t="array" ref="G92">_xlfn.XLOOKUP(TRUE,ISNUMBER(SEARCH(Data_Cleaning!$F$6:$F$36,C92)),Data_Cleaning!$G$6:$G$36,"Other",0)</f>
        <v>Arts and Humanities</v>
      </c>
      <c r="H92" s="24" t="str">
        <f>+_xlfn.XLOOKUP(G92,Data_Cleaning!$J$6:$J$11,Data_Cleaning!$K$6:$K$11)</f>
        <v>Arts and Humanities</v>
      </c>
      <c r="I92" s="12">
        <v>5000</v>
      </c>
      <c r="J92" s="12">
        <v>5000</v>
      </c>
      <c r="K92" s="12">
        <v>5000</v>
      </c>
      <c r="L92" s="12">
        <v>5833</v>
      </c>
    </row>
    <row r="93" spans="2:12" ht="15" customHeight="1">
      <c r="B93" s="10">
        <v>41003</v>
      </c>
      <c r="C93" s="22" t="s">
        <v>439</v>
      </c>
      <c r="D93" s="11" t="s">
        <v>11</v>
      </c>
      <c r="E93" s="25" t="s">
        <v>684</v>
      </c>
      <c r="F93" s="36" t="str">
        <f>+_xlfn.XLOOKUP(E93,Data_Cleaning!$B$6:$B$50,Data_Cleaning!$C$6:$C$50)</f>
        <v>Barcelona​</v>
      </c>
      <c r="G93" s="36" t="str" cm="1">
        <f t="array" ref="G93">_xlfn.XLOOKUP(TRUE,ISNUMBER(SEARCH(Data_Cleaning!$F$6:$F$36,C93)),Data_Cleaning!$G$6:$G$36,"Other",0)</f>
        <v>Arts and Humanities</v>
      </c>
      <c r="H93" s="24" t="str">
        <f>+_xlfn.XLOOKUP(G93,Data_Cleaning!$J$6:$J$11,Data_Cleaning!$K$6:$K$11)</f>
        <v>Arts and Humanities</v>
      </c>
      <c r="I93" s="12">
        <v>5000</v>
      </c>
      <c r="J93" s="12">
        <v>5000</v>
      </c>
      <c r="K93" s="12">
        <v>5000</v>
      </c>
      <c r="L93" s="12">
        <v>5000</v>
      </c>
    </row>
    <row r="94" spans="2:12" ht="15" customHeight="1">
      <c r="B94" s="10">
        <v>21101</v>
      </c>
      <c r="C94" s="22" t="s">
        <v>440</v>
      </c>
      <c r="D94" s="11" t="s">
        <v>20</v>
      </c>
      <c r="E94" s="25" t="s">
        <v>685</v>
      </c>
      <c r="F94" s="36" t="str">
        <f>+_xlfn.XLOOKUP(E94,Data_Cleaning!$B$6:$B$50,Data_Cleaning!$C$6:$C$50)</f>
        <v>Barcelona​</v>
      </c>
      <c r="G94" s="40" t="str" cm="1">
        <f t="array" ref="G94">_xlfn.XLOOKUP(TRUE,ISNUMBER(SEARCH(Data_Cleaning!$F$6:$F$36,C94)),Data_Cleaning!$G$6:$G$36,"Other",0)</f>
        <v>Arts and Humanities</v>
      </c>
      <c r="H94" s="24" t="str">
        <f>+_xlfn.XLOOKUP(G94,Data_Cleaning!$J$6:$J$11,Data_Cleaning!$K$6:$K$11)</f>
        <v>Arts and Humanities</v>
      </c>
      <c r="I94" s="12">
        <v>5000</v>
      </c>
      <c r="J94" s="12">
        <v>5000</v>
      </c>
      <c r="K94" s="12">
        <v>5000</v>
      </c>
      <c r="L94" s="12">
        <v>6000</v>
      </c>
    </row>
    <row r="95" spans="2:12" ht="15" customHeight="1">
      <c r="B95" s="10">
        <v>21046</v>
      </c>
      <c r="C95" s="22" t="s">
        <v>460</v>
      </c>
      <c r="D95" s="11" t="s">
        <v>20</v>
      </c>
      <c r="E95" s="25" t="s">
        <v>697</v>
      </c>
      <c r="F95" s="36" t="str">
        <f>+_xlfn.XLOOKUP(E95,Data_Cleaning!$B$6:$B$50,Data_Cleaning!$C$6:$C$50)</f>
        <v>Barcelona​</v>
      </c>
      <c r="G95" s="40" t="s">
        <v>753</v>
      </c>
      <c r="H95" s="24" t="str">
        <f>+_xlfn.XLOOKUP(G95,Data_Cleaning!$J$6:$J$11,Data_Cleaning!$K$6:$K$11)</f>
        <v>Science and Technology</v>
      </c>
      <c r="I95" s="12">
        <v>5000</v>
      </c>
      <c r="J95" s="12">
        <v>5000</v>
      </c>
      <c r="K95" s="12">
        <v>5000</v>
      </c>
      <c r="L95" s="12">
        <v>5000</v>
      </c>
    </row>
    <row r="96" spans="2:12" ht="15" customHeight="1">
      <c r="B96" s="10">
        <v>81058</v>
      </c>
      <c r="C96" s="22" t="s">
        <v>461</v>
      </c>
      <c r="D96" s="11" t="s">
        <v>23</v>
      </c>
      <c r="E96" s="25" t="s">
        <v>686</v>
      </c>
      <c r="F96" s="36" t="str">
        <f>+_xlfn.XLOOKUP(E96,Data_Cleaning!$B$6:$B$50,Data_Cleaning!$C$6:$C$50)</f>
        <v>Girona​</v>
      </c>
      <c r="G96" s="40" t="s">
        <v>768</v>
      </c>
      <c r="H96" s="24" t="str">
        <f>+_xlfn.XLOOKUP(G96,Data_Cleaning!$J$6:$J$11,Data_Cleaning!$K$6:$K$11)</f>
        <v>Science and Technology</v>
      </c>
      <c r="I96" s="12">
        <v>5000</v>
      </c>
      <c r="J96" s="12">
        <v>5000</v>
      </c>
      <c r="K96" s="12">
        <v>5000</v>
      </c>
      <c r="L96" s="12">
        <v>5000</v>
      </c>
    </row>
    <row r="97" spans="2:12" ht="15" customHeight="1">
      <c r="B97" s="10">
        <v>10120</v>
      </c>
      <c r="C97" s="22" t="s">
        <v>464</v>
      </c>
      <c r="D97" s="11" t="s">
        <v>16</v>
      </c>
      <c r="E97" s="25" t="s">
        <v>684</v>
      </c>
      <c r="F97" s="36" t="str">
        <f>+_xlfn.XLOOKUP(E97,Data_Cleaning!$B$6:$B$50,Data_Cleaning!$C$6:$C$50)</f>
        <v>Barcelona​</v>
      </c>
      <c r="G97" s="40" t="s">
        <v>762</v>
      </c>
      <c r="H97" s="24" t="str">
        <f>+_xlfn.XLOOKUP(G97,Data_Cleaning!$J$6:$J$11,Data_Cleaning!$K$6:$K$11)</f>
        <v>Social Sciences</v>
      </c>
      <c r="I97" s="12">
        <v>5000</v>
      </c>
      <c r="J97" s="12">
        <v>5000</v>
      </c>
      <c r="K97" s="12">
        <v>5000</v>
      </c>
      <c r="L97" s="12">
        <v>6167</v>
      </c>
    </row>
    <row r="98" spans="2:12" ht="15" customHeight="1">
      <c r="B98" s="10">
        <v>11039</v>
      </c>
      <c r="C98" s="22" t="s">
        <v>465</v>
      </c>
      <c r="D98" s="11" t="s">
        <v>16</v>
      </c>
      <c r="E98" s="25" t="s">
        <v>684</v>
      </c>
      <c r="F98" s="36" t="str">
        <f>+_xlfn.XLOOKUP(E98,Data_Cleaning!$B$6:$B$50,Data_Cleaning!$C$6:$C$50)</f>
        <v>Barcelona​</v>
      </c>
      <c r="G98" s="40" t="s">
        <v>775</v>
      </c>
      <c r="H98" s="24" t="str">
        <f>+_xlfn.XLOOKUP(G98,Data_Cleaning!$J$6:$J$11,Data_Cleaning!$K$6:$K$11)</f>
        <v>Arts and Humanities</v>
      </c>
      <c r="I98" s="12">
        <v>5000</v>
      </c>
      <c r="J98" s="12">
        <v>5000</v>
      </c>
      <c r="K98" s="12">
        <v>5000</v>
      </c>
      <c r="L98" s="12">
        <v>5000</v>
      </c>
    </row>
    <row r="99" spans="2:12" ht="15" customHeight="1">
      <c r="B99" s="10">
        <v>71072</v>
      </c>
      <c r="C99" s="22" t="s">
        <v>466</v>
      </c>
      <c r="D99" s="11" t="s">
        <v>18</v>
      </c>
      <c r="E99" s="25" t="s">
        <v>696</v>
      </c>
      <c r="F99" s="36" t="str">
        <f>+_xlfn.XLOOKUP(E99,Data_Cleaning!$B$6:$B$50,Data_Cleaning!$C$6:$C$50)</f>
        <v>Tarragona​</v>
      </c>
      <c r="G99" s="36" t="s">
        <v>775</v>
      </c>
      <c r="H99" s="24" t="str">
        <f>+_xlfn.XLOOKUP(G99,Data_Cleaning!$J$6:$J$11,Data_Cleaning!$K$6:$K$11)</f>
        <v>Arts and Humanities</v>
      </c>
      <c r="I99" s="12">
        <v>5000</v>
      </c>
      <c r="J99" s="12">
        <v>5000</v>
      </c>
      <c r="K99" s="12">
        <v>5000</v>
      </c>
      <c r="L99" s="12">
        <v>5000</v>
      </c>
    </row>
    <row r="100" spans="2:12" ht="15" customHeight="1">
      <c r="B100" s="10">
        <v>21136</v>
      </c>
      <c r="C100" s="22" t="s">
        <v>467</v>
      </c>
      <c r="D100" s="11" t="s">
        <v>20</v>
      </c>
      <c r="E100" s="25" t="s">
        <v>685</v>
      </c>
      <c r="F100" s="36" t="str">
        <f>+_xlfn.XLOOKUP(E100,Data_Cleaning!$B$6:$B$50,Data_Cleaning!$C$6:$C$50)</f>
        <v>Barcelona​</v>
      </c>
      <c r="G100" s="36" t="s">
        <v>775</v>
      </c>
      <c r="H100" s="24" t="str">
        <f>+_xlfn.XLOOKUP(G100,Data_Cleaning!$J$6:$J$11,Data_Cleaning!$K$6:$K$11)</f>
        <v>Arts and Humanities</v>
      </c>
      <c r="I100" s="12">
        <v>5000</v>
      </c>
      <c r="J100" s="12">
        <v>5000</v>
      </c>
      <c r="K100" s="12">
        <v>5000</v>
      </c>
      <c r="L100" s="12">
        <v>7500</v>
      </c>
    </row>
    <row r="101" spans="2:12" ht="15" customHeight="1">
      <c r="B101" s="10">
        <v>71073</v>
      </c>
      <c r="C101" s="22" t="s">
        <v>468</v>
      </c>
      <c r="D101" s="11" t="s">
        <v>18</v>
      </c>
      <c r="E101" s="25" t="s">
        <v>696</v>
      </c>
      <c r="F101" s="36" t="str">
        <f>+_xlfn.XLOOKUP(E101,Data_Cleaning!$B$6:$B$50,Data_Cleaning!$C$6:$C$50)</f>
        <v>Tarragona​</v>
      </c>
      <c r="G101" s="36" t="s">
        <v>775</v>
      </c>
      <c r="H101" s="24" t="str">
        <f>+_xlfn.XLOOKUP(G101,Data_Cleaning!$J$6:$J$11,Data_Cleaning!$K$6:$K$11)</f>
        <v>Arts and Humanities</v>
      </c>
      <c r="I101" s="12">
        <v>5000</v>
      </c>
      <c r="J101" s="12">
        <v>6000</v>
      </c>
      <c r="K101" s="12">
        <v>5000</v>
      </c>
      <c r="L101" s="12">
        <v>5000</v>
      </c>
    </row>
    <row r="102" spans="2:12" ht="15" customHeight="1">
      <c r="B102" s="10">
        <v>41023</v>
      </c>
      <c r="C102" s="22" t="s">
        <v>469</v>
      </c>
      <c r="D102" s="11" t="s">
        <v>11</v>
      </c>
      <c r="E102" s="25" t="s">
        <v>684</v>
      </c>
      <c r="F102" s="36" t="str">
        <f>+_xlfn.XLOOKUP(E102,Data_Cleaning!$B$6:$B$50,Data_Cleaning!$C$6:$C$50)</f>
        <v>Barcelona​</v>
      </c>
      <c r="G102" s="36" t="s">
        <v>775</v>
      </c>
      <c r="H102" s="24" t="str">
        <f>+_xlfn.XLOOKUP(G102,Data_Cleaning!$J$6:$J$11,Data_Cleaning!$K$6:$K$11)</f>
        <v>Arts and Humanities</v>
      </c>
      <c r="I102" s="12">
        <v>5000</v>
      </c>
      <c r="J102" s="12">
        <v>5000</v>
      </c>
      <c r="K102" s="12">
        <v>5000</v>
      </c>
      <c r="L102" s="12">
        <v>5000</v>
      </c>
    </row>
    <row r="103" spans="2:12" ht="15" customHeight="1">
      <c r="B103" s="10">
        <v>11040</v>
      </c>
      <c r="C103" s="22" t="s">
        <v>471</v>
      </c>
      <c r="D103" s="11" t="s">
        <v>16</v>
      </c>
      <c r="E103" s="25" t="s">
        <v>684</v>
      </c>
      <c r="F103" s="36" t="str">
        <f>+_xlfn.XLOOKUP(E103,Data_Cleaning!$B$6:$B$50,Data_Cleaning!$C$6:$C$50)</f>
        <v>Barcelona​</v>
      </c>
      <c r="G103" s="36" t="s">
        <v>775</v>
      </c>
      <c r="H103" s="24" t="str">
        <f>+_xlfn.XLOOKUP(G103,Data_Cleaning!$J$6:$J$11,Data_Cleaning!$K$6:$K$11)</f>
        <v>Arts and Humanities</v>
      </c>
      <c r="I103" s="12">
        <v>5000</v>
      </c>
      <c r="J103" s="12">
        <v>5000</v>
      </c>
      <c r="K103" s="12">
        <v>5000</v>
      </c>
      <c r="L103" s="12">
        <v>5000</v>
      </c>
    </row>
    <row r="104" spans="2:12" ht="15" customHeight="1">
      <c r="B104" s="10">
        <v>11082</v>
      </c>
      <c r="C104" s="22" t="s">
        <v>472</v>
      </c>
      <c r="D104" s="11" t="s">
        <v>16</v>
      </c>
      <c r="E104" s="25" t="s">
        <v>684</v>
      </c>
      <c r="F104" s="36" t="str">
        <f>+_xlfn.XLOOKUP(E104,Data_Cleaning!$B$6:$B$50,Data_Cleaning!$C$6:$C$50)</f>
        <v>Barcelona​</v>
      </c>
      <c r="G104" s="36" t="s">
        <v>775</v>
      </c>
      <c r="H104" s="24" t="str">
        <f>+_xlfn.XLOOKUP(G104,Data_Cleaning!$J$6:$J$11,Data_Cleaning!$K$6:$K$11)</f>
        <v>Arts and Humanities</v>
      </c>
      <c r="I104" s="12">
        <v>5000</v>
      </c>
      <c r="J104" s="12">
        <v>5000</v>
      </c>
      <c r="K104" s="12">
        <v>5000</v>
      </c>
      <c r="L104" s="12">
        <v>5000</v>
      </c>
    </row>
    <row r="105" spans="2:12" ht="15" customHeight="1">
      <c r="B105" s="10">
        <v>81064</v>
      </c>
      <c r="C105" s="22" t="s">
        <v>473</v>
      </c>
      <c r="D105" s="11" t="s">
        <v>23</v>
      </c>
      <c r="E105" s="25" t="s">
        <v>684</v>
      </c>
      <c r="F105" s="36" t="str">
        <f>+_xlfn.XLOOKUP(E105,Data_Cleaning!$B$6:$B$50,Data_Cleaning!$C$6:$C$50)</f>
        <v>Barcelona​</v>
      </c>
      <c r="G105" s="36" t="str" cm="1">
        <f t="array" ref="G105">_xlfn.XLOOKUP(TRUE,ISNUMBER(SEARCH(Data_Cleaning!$F$6:$F$36,C105)),Data_Cleaning!$G$6:$G$36,"Other",0)</f>
        <v>Social Sciences and Law</v>
      </c>
      <c r="H105" s="24" t="str">
        <f>+_xlfn.XLOOKUP(G105,Data_Cleaning!$J$6:$J$11,Data_Cleaning!$K$6:$K$11)</f>
        <v>Social Sciences</v>
      </c>
      <c r="I105" s="12">
        <v>5000</v>
      </c>
      <c r="J105" s="12">
        <v>5000</v>
      </c>
      <c r="K105" s="12">
        <v>5000</v>
      </c>
      <c r="L105" s="12">
        <v>5000</v>
      </c>
    </row>
    <row r="106" spans="2:12" ht="15" customHeight="1">
      <c r="B106" s="10">
        <v>71062</v>
      </c>
      <c r="C106" s="22" t="s">
        <v>476</v>
      </c>
      <c r="D106" s="11" t="s">
        <v>18</v>
      </c>
      <c r="E106" s="25" t="s">
        <v>684</v>
      </c>
      <c r="F106" s="36" t="str">
        <f>+_xlfn.XLOOKUP(E106,Data_Cleaning!$B$6:$B$50,Data_Cleaning!$C$6:$C$50)</f>
        <v>Barcelona​</v>
      </c>
      <c r="G106" s="36" t="str" cm="1">
        <f t="array" ref="G106">_xlfn.XLOOKUP(TRUE,ISNUMBER(SEARCH(Data_Cleaning!$F$6:$F$36,C106)),Data_Cleaning!$G$6:$G$36,"Other",0)</f>
        <v>Social Sciences and Law</v>
      </c>
      <c r="H106" s="24" t="str">
        <f>+_xlfn.XLOOKUP(G106,Data_Cleaning!$J$6:$J$11,Data_Cleaning!$K$6:$K$11)</f>
        <v>Social Sciences</v>
      </c>
      <c r="I106" s="12">
        <v>5000</v>
      </c>
      <c r="J106" s="12">
        <v>5000</v>
      </c>
      <c r="K106" s="12">
        <v>5000</v>
      </c>
      <c r="L106" s="12">
        <v>5000</v>
      </c>
    </row>
    <row r="107" spans="2:12" ht="15" customHeight="1">
      <c r="B107" s="10">
        <v>71074</v>
      </c>
      <c r="C107" s="22" t="s">
        <v>477</v>
      </c>
      <c r="D107" s="11" t="s">
        <v>18</v>
      </c>
      <c r="E107" s="25" t="s">
        <v>684</v>
      </c>
      <c r="F107" s="36" t="str">
        <f>+_xlfn.XLOOKUP(E107,Data_Cleaning!$B$6:$B$50,Data_Cleaning!$C$6:$C$50)</f>
        <v>Barcelona​</v>
      </c>
      <c r="G107" s="36" t="str" cm="1">
        <f t="array" ref="G107">_xlfn.XLOOKUP(TRUE,ISNUMBER(SEARCH(Data_Cleaning!$F$6:$F$36,C107)),Data_Cleaning!$G$6:$G$36,"Other",0)</f>
        <v>Social Sciences and Law</v>
      </c>
      <c r="H107" s="24" t="str">
        <f>+_xlfn.XLOOKUP(G107,Data_Cleaning!$J$6:$J$11,Data_Cleaning!$K$6:$K$11)</f>
        <v>Social Sciences</v>
      </c>
      <c r="I107" s="12">
        <v>5000</v>
      </c>
      <c r="J107" s="12">
        <v>5000</v>
      </c>
      <c r="K107" s="12">
        <v>5000</v>
      </c>
      <c r="L107" s="12">
        <v>5000</v>
      </c>
    </row>
    <row r="108" spans="2:12" ht="15" customHeight="1">
      <c r="B108" s="10">
        <v>81051</v>
      </c>
      <c r="C108" s="22" t="s">
        <v>478</v>
      </c>
      <c r="D108" s="11" t="s">
        <v>23</v>
      </c>
      <c r="E108" s="25" t="s">
        <v>684</v>
      </c>
      <c r="F108" s="36" t="str">
        <f>+_xlfn.XLOOKUP(E108,Data_Cleaning!$B$6:$B$50,Data_Cleaning!$C$6:$C$50)</f>
        <v>Barcelona​</v>
      </c>
      <c r="G108" s="36" t="str" cm="1">
        <f t="array" ref="G108">_xlfn.XLOOKUP(TRUE,ISNUMBER(SEARCH(Data_Cleaning!$F$6:$F$36,C108)),Data_Cleaning!$G$6:$G$36,"Other",0)</f>
        <v>Social Sciences and Law</v>
      </c>
      <c r="H108" s="24" t="str">
        <f>+_xlfn.XLOOKUP(G108,Data_Cleaning!$J$6:$J$11,Data_Cleaning!$K$6:$K$11)</f>
        <v>Social Sciences</v>
      </c>
      <c r="I108" s="12">
        <v>5000</v>
      </c>
      <c r="J108" s="12">
        <v>5000</v>
      </c>
      <c r="K108" s="12">
        <v>5000</v>
      </c>
      <c r="L108" s="12">
        <v>5000</v>
      </c>
    </row>
    <row r="109" spans="2:12" ht="15" customHeight="1">
      <c r="B109" s="10">
        <v>61078</v>
      </c>
      <c r="C109" s="22" t="s">
        <v>479</v>
      </c>
      <c r="D109" s="11" t="s">
        <v>25</v>
      </c>
      <c r="E109" s="25" t="s">
        <v>684</v>
      </c>
      <c r="F109" s="36" t="str">
        <f>+_xlfn.XLOOKUP(E109,Data_Cleaning!$B$6:$B$50,Data_Cleaning!$C$6:$C$50)</f>
        <v>Barcelona​</v>
      </c>
      <c r="G109" s="36" t="str" cm="1">
        <f t="array" ref="G109">_xlfn.XLOOKUP(TRUE,ISNUMBER(SEARCH(Data_Cleaning!$F$6:$F$36,C109)),Data_Cleaning!$G$6:$G$36,"Other",0)</f>
        <v>Social Sciences and Law</v>
      </c>
      <c r="H109" s="24" t="str">
        <f>+_xlfn.XLOOKUP(G109,Data_Cleaning!$J$6:$J$11,Data_Cleaning!$K$6:$K$11)</f>
        <v>Social Sciences</v>
      </c>
      <c r="I109" s="12">
        <v>5000</v>
      </c>
      <c r="J109" s="12">
        <v>5000</v>
      </c>
      <c r="K109" s="12">
        <v>5000</v>
      </c>
      <c r="L109" s="12">
        <v>5000</v>
      </c>
    </row>
    <row r="110" spans="2:12" ht="15" customHeight="1">
      <c r="B110" s="10">
        <v>41062</v>
      </c>
      <c r="C110" s="23" t="s">
        <v>672</v>
      </c>
      <c r="D110" s="11" t="s">
        <v>11</v>
      </c>
      <c r="E110" s="25" t="s">
        <v>683</v>
      </c>
      <c r="F110" s="36" t="str">
        <f>+_xlfn.XLOOKUP(E110,Data_Cleaning!$B$6:$B$50,Data_Cleaning!$C$6:$C$50)</f>
        <v>Barcelona​</v>
      </c>
      <c r="G110" s="36" t="str" cm="1">
        <f t="array" ref="G110">_xlfn.XLOOKUP(TRUE,ISNUMBER(SEARCH(Data_Cleaning!$F$6:$F$36,C110)),Data_Cleaning!$G$6:$G$36,"Other",0)</f>
        <v>Double Degree</v>
      </c>
      <c r="H110" s="24" t="s">
        <v>795</v>
      </c>
      <c r="I110" s="12">
        <v>5000</v>
      </c>
      <c r="J110" s="12">
        <v>5000</v>
      </c>
      <c r="K110" s="12">
        <v>5000</v>
      </c>
      <c r="L110" s="12">
        <v>5000</v>
      </c>
    </row>
    <row r="111" spans="2:12" ht="15" customHeight="1">
      <c r="B111" s="10">
        <v>11115</v>
      </c>
      <c r="C111" s="22" t="s">
        <v>483</v>
      </c>
      <c r="D111" s="11" t="s">
        <v>16</v>
      </c>
      <c r="E111" s="25" t="s">
        <v>684</v>
      </c>
      <c r="F111" s="36" t="str">
        <f>+_xlfn.XLOOKUP(E111,Data_Cleaning!$B$6:$B$50,Data_Cleaning!$C$6:$C$50)</f>
        <v>Barcelona​</v>
      </c>
      <c r="G111" s="36" t="str" cm="1">
        <f t="array" ref="G111">_xlfn.XLOOKUP(TRUE,ISNUMBER(SEARCH(Data_Cleaning!$F$6:$F$36,C111)),Data_Cleaning!$G$6:$G$36,"Other",0)</f>
        <v>Social Sciences and Law</v>
      </c>
      <c r="H111" s="24" t="str">
        <f>+_xlfn.XLOOKUP(G111,Data_Cleaning!$J$6:$J$11,Data_Cleaning!$K$6:$K$11)</f>
        <v>Social Sciences</v>
      </c>
      <c r="I111" s="12">
        <v>5000</v>
      </c>
      <c r="J111" s="12">
        <v>5000</v>
      </c>
      <c r="K111" s="12">
        <v>5000</v>
      </c>
      <c r="L111" s="12">
        <v>5000</v>
      </c>
    </row>
    <row r="112" spans="2:12" ht="15" customHeight="1">
      <c r="B112" s="10">
        <v>31131</v>
      </c>
      <c r="C112" s="23" t="s">
        <v>674</v>
      </c>
      <c r="D112" s="11" t="s">
        <v>58</v>
      </c>
      <c r="E112" s="25" t="s">
        <v>684</v>
      </c>
      <c r="F112" s="36" t="str">
        <f>+_xlfn.XLOOKUP(E112,Data_Cleaning!$B$6:$B$50,Data_Cleaning!$C$6:$C$50)</f>
        <v>Barcelona​</v>
      </c>
      <c r="G112" s="40" t="str" cm="1">
        <f t="array" ref="G112">_xlfn.XLOOKUP(TRUE,ISNUMBER(SEARCH(Data_Cleaning!$F$6:$F$36,C112)),Data_Cleaning!$G$6:$G$36,"Other",0)</f>
        <v>Social Sciences and Law</v>
      </c>
      <c r="H112" s="24" t="str">
        <f>+_xlfn.XLOOKUP(G112,Data_Cleaning!$J$6:$J$11,Data_Cleaning!$K$6:$K$11)</f>
        <v>Social Sciences</v>
      </c>
      <c r="I112" s="12">
        <v>5000</v>
      </c>
      <c r="J112" s="12">
        <v>5000</v>
      </c>
      <c r="K112" s="12">
        <v>5000</v>
      </c>
      <c r="L112" s="12">
        <v>5000</v>
      </c>
    </row>
    <row r="113" spans="2:12" ht="15" customHeight="1">
      <c r="B113" s="10">
        <v>31134</v>
      </c>
      <c r="C113" s="23" t="s">
        <v>675</v>
      </c>
      <c r="D113" s="11" t="s">
        <v>58</v>
      </c>
      <c r="E113" s="25" t="s">
        <v>706</v>
      </c>
      <c r="F113" s="36" t="str">
        <f>+_xlfn.XLOOKUP(E113,Data_Cleaning!$B$6:$B$50,Data_Cleaning!$C$6:$C$50)</f>
        <v>Barcelona​</v>
      </c>
      <c r="G113" s="40" t="str" cm="1">
        <f t="array" ref="G113">_xlfn.XLOOKUP(TRUE,ISNUMBER(SEARCH(Data_Cleaning!$F$6:$F$36,C113)),Data_Cleaning!$G$6:$G$36,"Other",0)</f>
        <v>Social Sciences and Law</v>
      </c>
      <c r="H113" s="24" t="str">
        <f>+_xlfn.XLOOKUP(G113,Data_Cleaning!$J$6:$J$11,Data_Cleaning!$K$6:$K$11)</f>
        <v>Social Sciences</v>
      </c>
      <c r="I113" s="12">
        <v>5000</v>
      </c>
      <c r="J113" s="12">
        <v>5000</v>
      </c>
      <c r="K113" s="12">
        <v>5000</v>
      </c>
      <c r="L113" s="12">
        <v>5000</v>
      </c>
    </row>
    <row r="114" spans="2:12" ht="15" customHeight="1">
      <c r="B114" s="10">
        <v>31133</v>
      </c>
      <c r="C114" s="23" t="s">
        <v>676</v>
      </c>
      <c r="D114" s="11" t="s">
        <v>58</v>
      </c>
      <c r="E114" s="25" t="s">
        <v>706</v>
      </c>
      <c r="F114" s="36" t="str">
        <f>+_xlfn.XLOOKUP(E114,Data_Cleaning!$B$6:$B$50,Data_Cleaning!$C$6:$C$50)</f>
        <v>Barcelona​</v>
      </c>
      <c r="G114" s="36" t="str" cm="1">
        <f t="array" ref="G114">_xlfn.XLOOKUP(TRUE,ISNUMBER(SEARCH(Data_Cleaning!$F$6:$F$36,C114)),Data_Cleaning!$G$6:$G$36,"Other",0)</f>
        <v>Social Sciences and Law</v>
      </c>
      <c r="H114" s="24" t="str">
        <f>+_xlfn.XLOOKUP(G114,Data_Cleaning!$J$6:$J$11,Data_Cleaning!$K$6:$K$11)</f>
        <v>Social Sciences</v>
      </c>
      <c r="I114" s="12">
        <v>5000</v>
      </c>
      <c r="J114" s="12">
        <v>5000</v>
      </c>
      <c r="K114" s="12">
        <v>5000</v>
      </c>
      <c r="L114" s="12">
        <v>5000</v>
      </c>
    </row>
    <row r="115" spans="2:12" ht="15" customHeight="1">
      <c r="B115" s="10">
        <v>41049</v>
      </c>
      <c r="C115" s="22" t="s">
        <v>500</v>
      </c>
      <c r="D115" s="11" t="s">
        <v>11</v>
      </c>
      <c r="E115" s="25" t="s">
        <v>683</v>
      </c>
      <c r="F115" s="36" t="str">
        <f>+_xlfn.XLOOKUP(E115,Data_Cleaning!$B$6:$B$50,Data_Cleaning!$C$6:$C$50)</f>
        <v>Barcelona​</v>
      </c>
      <c r="G115" s="40" t="s">
        <v>775</v>
      </c>
      <c r="H115" s="24" t="str">
        <f>+_xlfn.XLOOKUP(G115,Data_Cleaning!$J$6:$J$11,Data_Cleaning!$K$6:$K$11)</f>
        <v>Arts and Humanities</v>
      </c>
      <c r="I115" s="12">
        <v>5000</v>
      </c>
      <c r="J115" s="12">
        <v>5000</v>
      </c>
      <c r="K115" s="12">
        <v>5000</v>
      </c>
      <c r="L115" s="12">
        <v>5000</v>
      </c>
    </row>
    <row r="116" spans="2:12" ht="15" customHeight="1">
      <c r="B116" s="10">
        <v>81079</v>
      </c>
      <c r="C116" s="22" t="s">
        <v>501</v>
      </c>
      <c r="D116" s="11" t="s">
        <v>23</v>
      </c>
      <c r="E116" s="25" t="s">
        <v>723</v>
      </c>
      <c r="F116" s="36" t="str">
        <f>+_xlfn.XLOOKUP(E116,Data_Cleaning!$B$6:$B$50,Data_Cleaning!$C$6:$C$50)</f>
        <v>Girona​</v>
      </c>
      <c r="G116" s="36" t="s">
        <v>775</v>
      </c>
      <c r="H116" s="24" t="str">
        <f>+_xlfn.XLOOKUP(G116,Data_Cleaning!$J$6:$J$11,Data_Cleaning!$K$6:$K$11)</f>
        <v>Arts and Humanities</v>
      </c>
      <c r="I116" s="12">
        <v>5000</v>
      </c>
      <c r="J116" s="12">
        <v>5000</v>
      </c>
      <c r="K116" s="12">
        <v>5000</v>
      </c>
      <c r="L116" s="12">
        <v>5000</v>
      </c>
    </row>
    <row r="117" spans="2:12" ht="15" customHeight="1">
      <c r="B117" s="10">
        <v>91029</v>
      </c>
      <c r="C117" s="22" t="s">
        <v>502</v>
      </c>
      <c r="D117" s="11" t="s">
        <v>28</v>
      </c>
      <c r="E117" s="25" t="s">
        <v>692</v>
      </c>
      <c r="F117" s="36" t="str">
        <f>+_xlfn.XLOOKUP(E117,Data_Cleaning!$B$6:$B$50,Data_Cleaning!$C$6:$C$50)</f>
        <v>Barcelona​</v>
      </c>
      <c r="G117" s="36" t="s">
        <v>753</v>
      </c>
      <c r="H117" s="24" t="str">
        <f>+_xlfn.XLOOKUP(G117,Data_Cleaning!$J$6:$J$11,Data_Cleaning!$K$6:$K$11)</f>
        <v>Science and Technology</v>
      </c>
      <c r="I117" s="12">
        <v>5000</v>
      </c>
      <c r="J117" s="12">
        <v>5000</v>
      </c>
      <c r="K117" s="12">
        <v>5000</v>
      </c>
      <c r="L117" s="12">
        <v>5000</v>
      </c>
    </row>
    <row r="118" spans="2:12" ht="15" customHeight="1">
      <c r="B118" s="10">
        <v>21051</v>
      </c>
      <c r="C118" s="22" t="s">
        <v>503</v>
      </c>
      <c r="D118" s="11" t="s">
        <v>20</v>
      </c>
      <c r="E118" s="25" t="s">
        <v>685</v>
      </c>
      <c r="F118" s="36" t="str">
        <f>+_xlfn.XLOOKUP(E118,Data_Cleaning!$B$6:$B$50,Data_Cleaning!$C$6:$C$50)</f>
        <v>Barcelona​</v>
      </c>
      <c r="G118" s="36" t="s">
        <v>775</v>
      </c>
      <c r="H118" s="24" t="str">
        <f>+_xlfn.XLOOKUP(G118,Data_Cleaning!$J$6:$J$11,Data_Cleaning!$K$6:$K$11)</f>
        <v>Arts and Humanities</v>
      </c>
      <c r="I118" s="12">
        <v>5000</v>
      </c>
      <c r="J118" s="12">
        <v>5000</v>
      </c>
      <c r="K118" s="12">
        <v>6987</v>
      </c>
      <c r="L118" s="12">
        <v>7333</v>
      </c>
    </row>
    <row r="119" spans="2:12" ht="15" customHeight="1">
      <c r="B119" s="10">
        <v>11102</v>
      </c>
      <c r="C119" s="22" t="s">
        <v>506</v>
      </c>
      <c r="D119" s="11" t="s">
        <v>16</v>
      </c>
      <c r="E119" s="25" t="s">
        <v>684</v>
      </c>
      <c r="F119" s="36" t="str">
        <f>+_xlfn.XLOOKUP(E119,Data_Cleaning!$B$6:$B$50,Data_Cleaning!$C$6:$C$50)</f>
        <v>Barcelona​</v>
      </c>
      <c r="G119" s="36" t="str" cm="1">
        <f t="array" ref="G119">_xlfn.XLOOKUP(TRUE,ISNUMBER(SEARCH(Data_Cleaning!$F$6:$F$36,C119)),Data_Cleaning!$G$6:$G$36,"Other",0)</f>
        <v>Social Sciences and Law</v>
      </c>
      <c r="H119" s="24" t="str">
        <f>+_xlfn.XLOOKUP(G119,Data_Cleaning!$J$6:$J$11,Data_Cleaning!$K$6:$K$11)</f>
        <v>Social Sciences</v>
      </c>
      <c r="I119" s="12">
        <v>5000</v>
      </c>
      <c r="J119" s="12">
        <v>5000</v>
      </c>
      <c r="K119" s="12">
        <v>5000</v>
      </c>
      <c r="L119" s="12">
        <v>5000</v>
      </c>
    </row>
    <row r="120" spans="2:12" ht="15" customHeight="1">
      <c r="B120" s="10">
        <v>11112</v>
      </c>
      <c r="C120" s="23" t="s">
        <v>677</v>
      </c>
      <c r="D120" s="11" t="s">
        <v>16</v>
      </c>
      <c r="E120" s="25" t="s">
        <v>684</v>
      </c>
      <c r="F120" s="36" t="str">
        <f>+_xlfn.XLOOKUP(E120,Data_Cleaning!$B$6:$B$50,Data_Cleaning!$C$6:$C$50)</f>
        <v>Barcelona​</v>
      </c>
      <c r="G120" s="36" t="str" cm="1">
        <f t="array" ref="G120">_xlfn.XLOOKUP(TRUE,ISNUMBER(SEARCH(Data_Cleaning!$F$6:$F$36,C120)),Data_Cleaning!$G$6:$G$36,"Other",0)</f>
        <v>Double Degree</v>
      </c>
      <c r="H120" s="24" t="s">
        <v>795</v>
      </c>
      <c r="I120" s="12">
        <v>5000</v>
      </c>
      <c r="J120" s="12">
        <v>5000</v>
      </c>
      <c r="K120" s="12">
        <v>5000</v>
      </c>
      <c r="L120" s="12">
        <v>5000</v>
      </c>
    </row>
    <row r="121" spans="2:12" ht="15" customHeight="1">
      <c r="B121" s="10">
        <v>81081</v>
      </c>
      <c r="C121" s="22" t="s">
        <v>513</v>
      </c>
      <c r="D121" s="11" t="s">
        <v>23</v>
      </c>
      <c r="E121" s="25" t="s">
        <v>698</v>
      </c>
      <c r="F121" s="36" t="str">
        <f>+_xlfn.XLOOKUP(E121,Data_Cleaning!$B$6:$B$50,Data_Cleaning!$C$6:$C$50)</f>
        <v>Girona​</v>
      </c>
      <c r="G121" s="40" t="s">
        <v>768</v>
      </c>
      <c r="H121" s="24" t="str">
        <f>+_xlfn.XLOOKUP(G121,Data_Cleaning!$J$6:$J$11,Data_Cleaning!$K$6:$K$11)</f>
        <v>Science and Technology</v>
      </c>
      <c r="I121" s="12">
        <v>5000</v>
      </c>
      <c r="J121" s="12">
        <v>5000</v>
      </c>
      <c r="K121" s="12">
        <v>5000</v>
      </c>
      <c r="L121" s="12">
        <v>5333</v>
      </c>
    </row>
    <row r="122" spans="2:12" ht="15" customHeight="1">
      <c r="B122" s="10">
        <v>91021</v>
      </c>
      <c r="C122" s="22" t="s">
        <v>515</v>
      </c>
      <c r="D122" s="11" t="s">
        <v>28</v>
      </c>
      <c r="E122" s="25" t="s">
        <v>692</v>
      </c>
      <c r="F122" s="36" t="str">
        <f>+_xlfn.XLOOKUP(E122,Data_Cleaning!$B$6:$B$50,Data_Cleaning!$C$6:$C$50)</f>
        <v>Barcelona​</v>
      </c>
      <c r="G122" s="40" t="s">
        <v>768</v>
      </c>
      <c r="H122" s="24" t="str">
        <f>+_xlfn.XLOOKUP(G122,Data_Cleaning!$J$6:$J$11,Data_Cleaning!$K$6:$K$11)</f>
        <v>Science and Technology</v>
      </c>
      <c r="I122" s="12">
        <v>5000</v>
      </c>
      <c r="J122" s="12">
        <v>5000</v>
      </c>
      <c r="K122" s="12">
        <v>5000</v>
      </c>
      <c r="L122" s="12">
        <v>5000</v>
      </c>
    </row>
    <row r="123" spans="2:12" ht="15" customHeight="1">
      <c r="B123" s="10">
        <v>91014</v>
      </c>
      <c r="C123" s="22" t="s">
        <v>527</v>
      </c>
      <c r="D123" s="11" t="s">
        <v>28</v>
      </c>
      <c r="E123" s="25" t="s">
        <v>692</v>
      </c>
      <c r="F123" s="36" t="str">
        <f>+_xlfn.XLOOKUP(E123,Data_Cleaning!$B$6:$B$50,Data_Cleaning!$C$6:$C$50)</f>
        <v>Barcelona​</v>
      </c>
      <c r="G123" s="40" t="s">
        <v>775</v>
      </c>
      <c r="H123" s="24" t="str">
        <f>+_xlfn.XLOOKUP(G123,Data_Cleaning!$J$6:$J$11,Data_Cleaning!$K$6:$K$11)</f>
        <v>Arts and Humanities</v>
      </c>
      <c r="I123" s="12">
        <v>5000</v>
      </c>
      <c r="J123" s="12">
        <v>5000</v>
      </c>
      <c r="K123" s="12">
        <v>5000</v>
      </c>
      <c r="L123" s="12">
        <v>5000</v>
      </c>
    </row>
    <row r="124" spans="2:12" ht="15" customHeight="1">
      <c r="B124" s="10">
        <v>91045</v>
      </c>
      <c r="C124" s="22" t="s">
        <v>530</v>
      </c>
      <c r="D124" s="11" t="s">
        <v>28</v>
      </c>
      <c r="E124" s="25" t="s">
        <v>689</v>
      </c>
      <c r="F124" s="36" t="str">
        <f>+_xlfn.XLOOKUP(E124,Data_Cleaning!$B$6:$B$50,Data_Cleaning!$C$6:$C$50)</f>
        <v>Barcelona​</v>
      </c>
      <c r="G124" s="36" t="s">
        <v>768</v>
      </c>
      <c r="H124" s="24" t="str">
        <f>+_xlfn.XLOOKUP(G124,Data_Cleaning!$J$6:$J$11,Data_Cleaning!$K$6:$K$11)</f>
        <v>Science and Technology</v>
      </c>
      <c r="I124" s="12">
        <v>5000</v>
      </c>
      <c r="J124" s="12">
        <v>5000</v>
      </c>
      <c r="K124" s="12">
        <v>5000</v>
      </c>
      <c r="L124" s="12">
        <v>7000</v>
      </c>
    </row>
    <row r="125" spans="2:12" ht="15" customHeight="1">
      <c r="B125" s="10">
        <v>21054</v>
      </c>
      <c r="C125" s="22" t="s">
        <v>531</v>
      </c>
      <c r="D125" s="11" t="s">
        <v>20</v>
      </c>
      <c r="E125" s="25" t="s">
        <v>685</v>
      </c>
      <c r="F125" s="36" t="str">
        <f>+_xlfn.XLOOKUP(E125,Data_Cleaning!$B$6:$B$50,Data_Cleaning!$C$6:$C$50)</f>
        <v>Barcelona​</v>
      </c>
      <c r="G125" s="36" t="s">
        <v>768</v>
      </c>
      <c r="H125" s="24" t="str">
        <f>+_xlfn.XLOOKUP(G125,Data_Cleaning!$J$6:$J$11,Data_Cleaning!$K$6:$K$11)</f>
        <v>Science and Technology</v>
      </c>
      <c r="I125" s="12">
        <v>5000</v>
      </c>
      <c r="J125" s="12">
        <v>5000</v>
      </c>
      <c r="K125" s="12">
        <v>5000</v>
      </c>
      <c r="L125" s="12">
        <v>5500</v>
      </c>
    </row>
    <row r="126" spans="2:12" ht="15" customHeight="1">
      <c r="B126" s="10">
        <v>21113</v>
      </c>
      <c r="C126" s="22" t="s">
        <v>532</v>
      </c>
      <c r="D126" s="11" t="s">
        <v>20</v>
      </c>
      <c r="E126" s="25" t="s">
        <v>685</v>
      </c>
      <c r="F126" s="36" t="str">
        <f>+_xlfn.XLOOKUP(E126,Data_Cleaning!$B$6:$B$50,Data_Cleaning!$C$6:$C$50)</f>
        <v>Barcelona​</v>
      </c>
      <c r="G126" s="36" t="s">
        <v>775</v>
      </c>
      <c r="H126" s="24" t="str">
        <f>+_xlfn.XLOOKUP(G126,Data_Cleaning!$J$6:$J$11,Data_Cleaning!$K$6:$K$11)</f>
        <v>Arts and Humanities</v>
      </c>
      <c r="I126" s="12">
        <v>5000</v>
      </c>
      <c r="J126" s="12">
        <v>5000</v>
      </c>
      <c r="K126" s="12">
        <v>5000</v>
      </c>
      <c r="L126" s="12">
        <v>5000</v>
      </c>
    </row>
    <row r="127" spans="2:12" ht="15" customHeight="1">
      <c r="B127" s="10">
        <v>11111</v>
      </c>
      <c r="C127" s="22" t="s">
        <v>533</v>
      </c>
      <c r="D127" s="11" t="s">
        <v>16</v>
      </c>
      <c r="E127" s="25" t="s">
        <v>684</v>
      </c>
      <c r="F127" s="36" t="str">
        <f>+_xlfn.XLOOKUP(E127,Data_Cleaning!$B$6:$B$50,Data_Cleaning!$C$6:$C$50)</f>
        <v>Barcelona​</v>
      </c>
      <c r="G127" s="36" t="s">
        <v>775</v>
      </c>
      <c r="H127" s="24" t="str">
        <f>+_xlfn.XLOOKUP(G127,Data_Cleaning!$J$6:$J$11,Data_Cleaning!$K$6:$K$11)</f>
        <v>Arts and Humanities</v>
      </c>
      <c r="I127" s="12">
        <v>5000</v>
      </c>
      <c r="J127" s="12">
        <v>5000</v>
      </c>
      <c r="K127" s="12">
        <v>5000</v>
      </c>
      <c r="L127" s="12">
        <v>5000</v>
      </c>
    </row>
    <row r="128" spans="2:12" ht="15" customHeight="1">
      <c r="B128" s="10">
        <v>91015</v>
      </c>
      <c r="C128" s="22" t="s">
        <v>544</v>
      </c>
      <c r="D128" s="11" t="s">
        <v>28</v>
      </c>
      <c r="E128" s="25" t="s">
        <v>692</v>
      </c>
      <c r="F128" s="36" t="str">
        <f>+_xlfn.XLOOKUP(E128,Data_Cleaning!$B$6:$B$50,Data_Cleaning!$C$6:$C$50)</f>
        <v>Barcelona​</v>
      </c>
      <c r="G128" s="36" t="str" cm="1">
        <f t="array" ref="G128">_xlfn.XLOOKUP(TRUE,ISNUMBER(SEARCH(Data_Cleaning!$F$6:$F$36,C128)),Data_Cleaning!$G$6:$G$36,"Other",0)</f>
        <v>Social Sciences and Law</v>
      </c>
      <c r="H128" s="24" t="str">
        <f>+_xlfn.XLOOKUP(G128,Data_Cleaning!$J$6:$J$11,Data_Cleaning!$K$6:$K$11)</f>
        <v>Social Sciences</v>
      </c>
      <c r="I128" s="12">
        <v>5000</v>
      </c>
      <c r="J128" s="12">
        <v>5000</v>
      </c>
      <c r="K128" s="12">
        <v>5000</v>
      </c>
      <c r="L128" s="12">
        <v>5000</v>
      </c>
    </row>
    <row r="129" spans="2:12" ht="15" customHeight="1">
      <c r="B129" s="10">
        <v>61033</v>
      </c>
      <c r="C129" s="22" t="s">
        <v>555</v>
      </c>
      <c r="D129" s="11" t="s">
        <v>25</v>
      </c>
      <c r="E129" s="25" t="s">
        <v>688</v>
      </c>
      <c r="F129" s="36" t="str">
        <f>+_xlfn.XLOOKUP(E129,Data_Cleaning!$B$6:$B$50,Data_Cleaning!$C$6:$C$50)</f>
        <v>Lleida​</v>
      </c>
      <c r="G129" s="36" t="s">
        <v>762</v>
      </c>
      <c r="H129" s="24" t="str">
        <f>+_xlfn.XLOOKUP(G129,Data_Cleaning!$J$6:$J$11,Data_Cleaning!$K$6:$K$11)</f>
        <v>Social Sciences</v>
      </c>
      <c r="I129" s="12">
        <v>5000</v>
      </c>
      <c r="J129" s="12">
        <v>5000</v>
      </c>
      <c r="K129" s="12">
        <v>5000</v>
      </c>
      <c r="L129" s="12">
        <v>5000</v>
      </c>
    </row>
    <row r="130" spans="2:12" ht="15" customHeight="1">
      <c r="B130" s="10">
        <v>21057</v>
      </c>
      <c r="C130" s="22" t="s">
        <v>565</v>
      </c>
      <c r="D130" s="11" t="s">
        <v>20</v>
      </c>
      <c r="E130" s="25" t="s">
        <v>706</v>
      </c>
      <c r="F130" s="36" t="str">
        <f>+_xlfn.XLOOKUP(E130,Data_Cleaning!$B$6:$B$50,Data_Cleaning!$C$6:$C$50)</f>
        <v>Barcelona​</v>
      </c>
      <c r="G130" s="36" t="s">
        <v>762</v>
      </c>
      <c r="H130" s="24" t="str">
        <f>+_xlfn.XLOOKUP(G130,Data_Cleaning!$J$6:$J$11,Data_Cleaning!$K$6:$K$11)</f>
        <v>Social Sciences</v>
      </c>
      <c r="I130" s="12">
        <v>5000</v>
      </c>
      <c r="J130" s="12">
        <v>5313</v>
      </c>
      <c r="K130" s="12">
        <v>5000</v>
      </c>
      <c r="L130" s="12">
        <v>5000</v>
      </c>
    </row>
    <row r="131" spans="2:12" ht="15" customHeight="1">
      <c r="B131" s="10">
        <v>91016</v>
      </c>
      <c r="C131" s="22" t="s">
        <v>566</v>
      </c>
      <c r="D131" s="11" t="s">
        <v>28</v>
      </c>
      <c r="E131" s="25" t="s">
        <v>692</v>
      </c>
      <c r="F131" s="36" t="str">
        <f>+_xlfn.XLOOKUP(E131,Data_Cleaning!$B$6:$B$50,Data_Cleaning!$C$6:$C$50)</f>
        <v>Barcelona​</v>
      </c>
      <c r="G131" s="36" t="s">
        <v>762</v>
      </c>
      <c r="H131" s="24" t="str">
        <f>+_xlfn.XLOOKUP(G131,Data_Cleaning!$J$6:$J$11,Data_Cleaning!$K$6:$K$11)</f>
        <v>Social Sciences</v>
      </c>
      <c r="I131" s="12">
        <v>5000</v>
      </c>
      <c r="J131" s="12">
        <v>5000</v>
      </c>
      <c r="K131" s="12">
        <v>6100</v>
      </c>
      <c r="L131" s="12">
        <v>6333</v>
      </c>
    </row>
    <row r="132" spans="2:12" ht="15" customHeight="1">
      <c r="B132" s="10">
        <v>21058</v>
      </c>
      <c r="C132" s="22" t="s">
        <v>567</v>
      </c>
      <c r="D132" s="11" t="s">
        <v>20</v>
      </c>
      <c r="E132" s="25" t="s">
        <v>685</v>
      </c>
      <c r="F132" s="36" t="str">
        <f>+_xlfn.XLOOKUP(E132,Data_Cleaning!$B$6:$B$50,Data_Cleaning!$C$6:$C$50)</f>
        <v>Barcelona​</v>
      </c>
      <c r="G132" s="36" t="s">
        <v>762</v>
      </c>
      <c r="H132" s="24" t="str">
        <f>+_xlfn.XLOOKUP(G132,Data_Cleaning!$J$6:$J$11,Data_Cleaning!$K$6:$K$11)</f>
        <v>Social Sciences</v>
      </c>
      <c r="I132" s="12">
        <v>5000</v>
      </c>
      <c r="J132" s="12">
        <v>5000</v>
      </c>
      <c r="K132" s="12">
        <v>5000</v>
      </c>
      <c r="L132" s="12">
        <v>5000</v>
      </c>
    </row>
    <row r="133" spans="2:12" ht="15" customHeight="1">
      <c r="B133" s="10">
        <v>41040</v>
      </c>
      <c r="C133" s="23" t="s">
        <v>595</v>
      </c>
      <c r="D133" s="11" t="s">
        <v>11</v>
      </c>
      <c r="E133" s="25" t="s">
        <v>684</v>
      </c>
      <c r="F133" s="36" t="str">
        <f>+_xlfn.XLOOKUP(E133,Data_Cleaning!$B$6:$B$50,Data_Cleaning!$C$6:$C$50)</f>
        <v>Barcelona​</v>
      </c>
      <c r="G133" s="36" t="s">
        <v>762</v>
      </c>
      <c r="H133" s="24" t="str">
        <f>+_xlfn.XLOOKUP(G133,Data_Cleaning!$J$6:$J$11,Data_Cleaning!$K$6:$K$11)</f>
        <v>Social Sciences</v>
      </c>
      <c r="I133" s="12">
        <v>5000</v>
      </c>
      <c r="J133" s="12">
        <v>5000</v>
      </c>
      <c r="K133" s="12">
        <v>5000</v>
      </c>
      <c r="L133" s="12">
        <v>5000</v>
      </c>
    </row>
    <row r="134" spans="2:12" ht="15" customHeight="1">
      <c r="B134" s="10">
        <v>21065</v>
      </c>
      <c r="C134" s="22" t="s">
        <v>571</v>
      </c>
      <c r="D134" s="11" t="s">
        <v>20</v>
      </c>
      <c r="E134" s="25" t="s">
        <v>685</v>
      </c>
      <c r="F134" s="36" t="str">
        <f>+_xlfn.XLOOKUP(E134,Data_Cleaning!$B$6:$B$50,Data_Cleaning!$C$6:$C$50)</f>
        <v>Barcelona​</v>
      </c>
      <c r="G134" s="36" t="s">
        <v>762</v>
      </c>
      <c r="H134" s="24" t="str">
        <f>+_xlfn.XLOOKUP(G134,Data_Cleaning!$J$6:$J$11,Data_Cleaning!$K$6:$K$11)</f>
        <v>Social Sciences</v>
      </c>
      <c r="I134" s="12">
        <v>5000</v>
      </c>
      <c r="J134" s="12">
        <v>5000</v>
      </c>
      <c r="K134" s="12">
        <v>5000</v>
      </c>
      <c r="L134" s="12">
        <v>7500</v>
      </c>
    </row>
    <row r="135" spans="2:12" ht="15" customHeight="1">
      <c r="B135" s="10">
        <v>11011</v>
      </c>
      <c r="C135" s="22" t="s">
        <v>576</v>
      </c>
      <c r="D135" s="11" t="s">
        <v>16</v>
      </c>
      <c r="E135" s="25" t="s">
        <v>684</v>
      </c>
      <c r="F135" s="36" t="str">
        <f>+_xlfn.XLOOKUP(E135,Data_Cleaning!$B$6:$B$50,Data_Cleaning!$C$6:$C$50)</f>
        <v>Barcelona​</v>
      </c>
      <c r="G135" s="36" t="str" cm="1">
        <f t="array" ref="G135">_xlfn.XLOOKUP(TRUE,ISNUMBER(SEARCH(Data_Cleaning!$F$6:$F$36,C135)),Data_Cleaning!$G$6:$G$36,"Other",0)</f>
        <v>Social Sciences and Law</v>
      </c>
      <c r="H135" s="24" t="str">
        <f>+_xlfn.XLOOKUP(G135,Data_Cleaning!$J$6:$J$11,Data_Cleaning!$K$6:$K$11)</f>
        <v>Social Sciences</v>
      </c>
      <c r="I135" s="12">
        <v>5000</v>
      </c>
      <c r="J135" s="12">
        <v>5000</v>
      </c>
      <c r="K135" s="12">
        <v>5000</v>
      </c>
      <c r="L135" s="12">
        <v>5000</v>
      </c>
    </row>
    <row r="136" spans="2:12" ht="15" customHeight="1">
      <c r="B136" s="10">
        <v>11086</v>
      </c>
      <c r="C136" s="22" t="s">
        <v>577</v>
      </c>
      <c r="D136" s="11" t="s">
        <v>16</v>
      </c>
      <c r="E136" s="25" t="s">
        <v>684</v>
      </c>
      <c r="F136" s="36" t="str">
        <f>+_xlfn.XLOOKUP(E136,Data_Cleaning!$B$6:$B$50,Data_Cleaning!$C$6:$C$50)</f>
        <v>Barcelona​</v>
      </c>
      <c r="G136" s="36" t="str" cm="1">
        <f t="array" ref="G136">_xlfn.XLOOKUP(TRUE,ISNUMBER(SEARCH(Data_Cleaning!$F$6:$F$36,C136)),Data_Cleaning!$G$6:$G$36,"Other",0)</f>
        <v>Social Sciences and Law</v>
      </c>
      <c r="H136" s="24" t="str">
        <f>+_xlfn.XLOOKUP(G136,Data_Cleaning!$J$6:$J$11,Data_Cleaning!$K$6:$K$11)</f>
        <v>Social Sciences</v>
      </c>
      <c r="I136" s="12">
        <v>5000</v>
      </c>
      <c r="J136" s="12">
        <v>5000</v>
      </c>
      <c r="K136" s="12">
        <v>5000</v>
      </c>
      <c r="L136" s="12">
        <v>5000</v>
      </c>
    </row>
    <row r="137" spans="2:12" ht="15" customHeight="1">
      <c r="B137" s="10">
        <v>81036</v>
      </c>
      <c r="C137" s="22" t="s">
        <v>578</v>
      </c>
      <c r="D137" s="11" t="s">
        <v>23</v>
      </c>
      <c r="E137" s="25" t="s">
        <v>684</v>
      </c>
      <c r="F137" s="36" t="str">
        <f>+_xlfn.XLOOKUP(E137,Data_Cleaning!$B$6:$B$50,Data_Cleaning!$C$6:$C$50)</f>
        <v>Barcelona​</v>
      </c>
      <c r="G137" s="40" t="str" cm="1">
        <f t="array" ref="G137">_xlfn.XLOOKUP(TRUE,ISNUMBER(SEARCH(Data_Cleaning!$F$6:$F$36,C137)),Data_Cleaning!$G$6:$G$36,"Other",0)</f>
        <v>Social Sciences and Law</v>
      </c>
      <c r="H137" s="24" t="str">
        <f>+_xlfn.XLOOKUP(G137,Data_Cleaning!$J$6:$J$11,Data_Cleaning!$K$6:$K$11)</f>
        <v>Social Sciences</v>
      </c>
      <c r="I137" s="12">
        <v>5000</v>
      </c>
      <c r="J137" s="12">
        <v>5000</v>
      </c>
      <c r="K137" s="12">
        <v>5000</v>
      </c>
      <c r="L137" s="12">
        <v>5000</v>
      </c>
    </row>
    <row r="138" spans="2:12" ht="15" customHeight="1">
      <c r="B138" s="10">
        <v>81038</v>
      </c>
      <c r="C138" s="22" t="s">
        <v>579</v>
      </c>
      <c r="D138" s="11" t="s">
        <v>23</v>
      </c>
      <c r="E138" s="25" t="s">
        <v>684</v>
      </c>
      <c r="F138" s="36" t="str">
        <f>+_xlfn.XLOOKUP(E138,Data_Cleaning!$B$6:$B$50,Data_Cleaning!$C$6:$C$50)</f>
        <v>Barcelona​</v>
      </c>
      <c r="G138" s="36" t="str" cm="1">
        <f t="array" ref="G138">_xlfn.XLOOKUP(TRUE,ISNUMBER(SEARCH(Data_Cleaning!$F$6:$F$36,C138)),Data_Cleaning!$G$6:$G$36,"Other",0)</f>
        <v>Social Sciences and Law</v>
      </c>
      <c r="H138" s="24" t="str">
        <f>+_xlfn.XLOOKUP(G138,Data_Cleaning!$J$6:$J$11,Data_Cleaning!$K$6:$K$11)</f>
        <v>Social Sciences</v>
      </c>
      <c r="I138" s="12">
        <v>5000</v>
      </c>
      <c r="J138" s="12">
        <v>5000</v>
      </c>
      <c r="K138" s="12">
        <v>5000</v>
      </c>
      <c r="L138" s="12">
        <v>5000</v>
      </c>
    </row>
    <row r="139" spans="2:12" ht="15" customHeight="1">
      <c r="B139" s="10">
        <v>21059</v>
      </c>
      <c r="C139" s="22" t="s">
        <v>580</v>
      </c>
      <c r="D139" s="11" t="s">
        <v>20</v>
      </c>
      <c r="E139" s="25" t="s">
        <v>685</v>
      </c>
      <c r="F139" s="36" t="str">
        <f>+_xlfn.XLOOKUP(E139,Data_Cleaning!$B$6:$B$50,Data_Cleaning!$C$6:$C$50)</f>
        <v>Barcelona​</v>
      </c>
      <c r="G139" s="40" t="str" cm="1">
        <f t="array" ref="G139">_xlfn.XLOOKUP(TRUE,ISNUMBER(SEARCH(Data_Cleaning!$F$6:$F$36,C139)),Data_Cleaning!$G$6:$G$36,"Other",0)</f>
        <v>Social Sciences and Law</v>
      </c>
      <c r="H139" s="24" t="str">
        <f>+_xlfn.XLOOKUP(G139,Data_Cleaning!$J$6:$J$11,Data_Cleaning!$K$6:$K$11)</f>
        <v>Social Sciences</v>
      </c>
      <c r="I139" s="12">
        <v>5000</v>
      </c>
      <c r="J139" s="12">
        <v>5000</v>
      </c>
      <c r="K139" s="12">
        <v>5000</v>
      </c>
      <c r="L139" s="12">
        <v>5000</v>
      </c>
    </row>
    <row r="140" spans="2:12" ht="15" customHeight="1">
      <c r="B140" s="10">
        <v>21114</v>
      </c>
      <c r="C140" s="22" t="s">
        <v>581</v>
      </c>
      <c r="D140" s="11" t="s">
        <v>20</v>
      </c>
      <c r="E140" s="25" t="s">
        <v>685</v>
      </c>
      <c r="F140" s="36" t="str">
        <f>+_xlfn.XLOOKUP(E140,Data_Cleaning!$B$6:$B$50,Data_Cleaning!$C$6:$C$50)</f>
        <v>Barcelona​</v>
      </c>
      <c r="G140" s="40" t="str" cm="1">
        <f t="array" ref="G140">_xlfn.XLOOKUP(TRUE,ISNUMBER(SEARCH(Data_Cleaning!$F$6:$F$36,C140)),Data_Cleaning!$G$6:$G$36,"Other",0)</f>
        <v>Social Sciences and Law</v>
      </c>
      <c r="H140" s="24" t="str">
        <f>+_xlfn.XLOOKUP(G140,Data_Cleaning!$J$6:$J$11,Data_Cleaning!$K$6:$K$11)</f>
        <v>Social Sciences</v>
      </c>
      <c r="I140" s="12">
        <v>5000</v>
      </c>
      <c r="J140" s="12">
        <v>5000</v>
      </c>
      <c r="K140" s="12">
        <v>5000</v>
      </c>
      <c r="L140" s="12">
        <v>5000</v>
      </c>
    </row>
    <row r="141" spans="2:12" ht="15" customHeight="1">
      <c r="B141" s="10">
        <v>61021</v>
      </c>
      <c r="C141" s="22" t="s">
        <v>583</v>
      </c>
      <c r="D141" s="11" t="s">
        <v>25</v>
      </c>
      <c r="E141" s="25" t="s">
        <v>688</v>
      </c>
      <c r="F141" s="36" t="str">
        <f>+_xlfn.XLOOKUP(E141,Data_Cleaning!$B$6:$B$50,Data_Cleaning!$C$6:$C$50)</f>
        <v>Lleida​</v>
      </c>
      <c r="G141" s="40" t="str" cm="1">
        <f t="array" ref="G141">_xlfn.XLOOKUP(TRUE,ISNUMBER(SEARCH(Data_Cleaning!$F$6:$F$36,C141)),Data_Cleaning!$G$6:$G$36,"Other",0)</f>
        <v>Social Sciences and Law</v>
      </c>
      <c r="H141" s="24" t="str">
        <f>+_xlfn.XLOOKUP(G141,Data_Cleaning!$J$6:$J$11,Data_Cleaning!$K$6:$K$11)</f>
        <v>Social Sciences</v>
      </c>
      <c r="I141" s="12">
        <v>5000</v>
      </c>
      <c r="J141" s="12">
        <v>5000</v>
      </c>
      <c r="K141" s="12">
        <v>5000</v>
      </c>
      <c r="L141" s="12">
        <v>5000</v>
      </c>
    </row>
    <row r="142" spans="2:12" ht="15" customHeight="1">
      <c r="B142" s="10">
        <v>81076</v>
      </c>
      <c r="C142" s="22" t="s">
        <v>584</v>
      </c>
      <c r="D142" s="11" t="s">
        <v>23</v>
      </c>
      <c r="E142" s="25" t="s">
        <v>686</v>
      </c>
      <c r="F142" s="36" t="str">
        <f>+_xlfn.XLOOKUP(E142,Data_Cleaning!$B$6:$B$50,Data_Cleaning!$C$6:$C$50)</f>
        <v>Girona​</v>
      </c>
      <c r="G142" s="40" t="str" cm="1">
        <f t="array" ref="G142">_xlfn.XLOOKUP(TRUE,ISNUMBER(SEARCH(Data_Cleaning!$F$6:$F$36,C142)),Data_Cleaning!$G$6:$G$36,"Other",0)</f>
        <v>Double Degree</v>
      </c>
      <c r="H142" s="24" t="s">
        <v>795</v>
      </c>
      <c r="I142" s="12">
        <v>5000</v>
      </c>
      <c r="J142" s="12">
        <v>5000</v>
      </c>
      <c r="K142" s="12">
        <v>5000</v>
      </c>
      <c r="L142" s="12">
        <v>5000</v>
      </c>
    </row>
    <row r="143" spans="2:12" ht="15" customHeight="1">
      <c r="B143" s="10">
        <v>81062</v>
      </c>
      <c r="C143" s="22" t="s">
        <v>585</v>
      </c>
      <c r="D143" s="11" t="s">
        <v>23</v>
      </c>
      <c r="E143" s="25" t="s">
        <v>684</v>
      </c>
      <c r="F143" s="36" t="str">
        <f>+_xlfn.XLOOKUP(E143,Data_Cleaning!$B$6:$B$50,Data_Cleaning!$C$6:$C$50)</f>
        <v>Barcelona​</v>
      </c>
      <c r="G143" s="36" t="str" cm="1">
        <f t="array" ref="G143">_xlfn.XLOOKUP(TRUE,ISNUMBER(SEARCH(Data_Cleaning!$F$6:$F$36,C143)),Data_Cleaning!$G$6:$G$36,"Other",0)</f>
        <v>Double Degree</v>
      </c>
      <c r="H143" s="24" t="s">
        <v>795</v>
      </c>
      <c r="I143" s="12">
        <v>5000</v>
      </c>
      <c r="J143" s="12">
        <v>5000</v>
      </c>
      <c r="K143" s="12">
        <v>5000</v>
      </c>
      <c r="L143" s="12">
        <v>5000</v>
      </c>
    </row>
    <row r="144" spans="2:12" ht="15" customHeight="1">
      <c r="B144" s="10">
        <v>41061</v>
      </c>
      <c r="C144" s="22" t="s">
        <v>511</v>
      </c>
      <c r="D144" s="11" t="s">
        <v>11</v>
      </c>
      <c r="E144" s="25" t="s">
        <v>683</v>
      </c>
      <c r="F144" s="36" t="str">
        <f>+_xlfn.XLOOKUP(E144,Data_Cleaning!$B$6:$B$50,Data_Cleaning!$C$6:$C$50)</f>
        <v>Barcelona​</v>
      </c>
      <c r="G144" s="36" t="s">
        <v>768</v>
      </c>
      <c r="H144" s="24" t="str">
        <f>+_xlfn.XLOOKUP(G144,Data_Cleaning!$J$6:$J$11,Data_Cleaning!$K$6:$K$11)</f>
        <v>Science and Technology</v>
      </c>
      <c r="I144" s="12">
        <v>5040</v>
      </c>
      <c r="J144" s="12">
        <v>5000</v>
      </c>
      <c r="K144" s="12">
        <v>5000</v>
      </c>
      <c r="L144" s="12">
        <v>5000</v>
      </c>
    </row>
    <row r="145" spans="2:12" ht="15" customHeight="1">
      <c r="B145" s="10">
        <v>81039</v>
      </c>
      <c r="C145" s="22" t="s">
        <v>582</v>
      </c>
      <c r="D145" s="11" t="s">
        <v>23</v>
      </c>
      <c r="E145" s="25" t="s">
        <v>686</v>
      </c>
      <c r="F145" s="36" t="str">
        <f>+_xlfn.XLOOKUP(E145,Data_Cleaning!$B$6:$B$50,Data_Cleaning!$C$6:$C$50)</f>
        <v>Girona​</v>
      </c>
      <c r="G145" s="40" t="str" cm="1">
        <f t="array" ref="G145">_xlfn.XLOOKUP(TRUE,ISNUMBER(SEARCH(Data_Cleaning!$F$6:$F$36,C145)),Data_Cleaning!$G$6:$G$36,"Other",0)</f>
        <v>Social Sciences and Law</v>
      </c>
      <c r="H145" s="24" t="str">
        <f>+_xlfn.XLOOKUP(G145,Data_Cleaning!$J$6:$J$11,Data_Cleaning!$K$6:$K$11)</f>
        <v>Social Sciences</v>
      </c>
      <c r="I145" s="12">
        <v>5044</v>
      </c>
      <c r="J145" s="12">
        <v>5000</v>
      </c>
      <c r="K145" s="12">
        <v>5000</v>
      </c>
      <c r="L145" s="12">
        <v>5000</v>
      </c>
    </row>
    <row r="146" spans="2:12" ht="15" customHeight="1">
      <c r="B146" s="10">
        <v>91011</v>
      </c>
      <c r="C146" s="22" t="s">
        <v>336</v>
      </c>
      <c r="D146" s="11" t="s">
        <v>28</v>
      </c>
      <c r="E146" s="25" t="s">
        <v>692</v>
      </c>
      <c r="F146" s="36" t="str">
        <f>+_xlfn.XLOOKUP(E146,Data_Cleaning!$B$6:$B$50,Data_Cleaning!$C$6:$C$50)</f>
        <v>Barcelona​</v>
      </c>
      <c r="G146" s="36" t="str" cm="1">
        <f t="array" ref="G146">_xlfn.XLOOKUP(TRUE,ISNUMBER(SEARCH(Data_Cleaning!$F$6:$F$36,C146)),Data_Cleaning!$G$6:$G$36,"Other",0)</f>
        <v>Engineering and Architecture</v>
      </c>
      <c r="H146" s="24" t="str">
        <f>+_xlfn.XLOOKUP(G146,Data_Cleaning!$J$6:$J$11,Data_Cleaning!$K$6:$K$11)</f>
        <v>Science and Technology</v>
      </c>
      <c r="I146" s="12">
        <v>5156</v>
      </c>
      <c r="J146" s="12">
        <v>5000</v>
      </c>
      <c r="K146" s="12">
        <v>5000</v>
      </c>
      <c r="L146" s="12">
        <v>5000</v>
      </c>
    </row>
    <row r="147" spans="2:12" ht="15" customHeight="1">
      <c r="B147" s="10">
        <v>31129</v>
      </c>
      <c r="C147" s="23" t="s">
        <v>634</v>
      </c>
      <c r="D147" s="11" t="s">
        <v>58</v>
      </c>
      <c r="E147" s="25" t="s">
        <v>684</v>
      </c>
      <c r="F147" s="36" t="str">
        <f>+_xlfn.XLOOKUP(E147,Data_Cleaning!$B$6:$B$50,Data_Cleaning!$C$6:$C$50)</f>
        <v>Barcelona​</v>
      </c>
      <c r="G147" s="40" t="str" cm="1">
        <f t="array" ref="G147">_xlfn.XLOOKUP(TRUE,ISNUMBER(SEARCH(Data_Cleaning!$F$6:$F$36,C147)),Data_Cleaning!$G$6:$G$36,"Other",0)</f>
        <v>Double Degree</v>
      </c>
      <c r="H147" s="24" t="s">
        <v>795</v>
      </c>
      <c r="I147" s="12">
        <v>5210</v>
      </c>
      <c r="J147" s="12">
        <v>5000</v>
      </c>
      <c r="K147" s="12">
        <v>5000</v>
      </c>
      <c r="L147" s="12">
        <v>5000</v>
      </c>
    </row>
    <row r="148" spans="2:12" ht="15" customHeight="1">
      <c r="B148" s="10">
        <v>11001</v>
      </c>
      <c r="C148" s="22" t="s">
        <v>52</v>
      </c>
      <c r="D148" s="11" t="s">
        <v>16</v>
      </c>
      <c r="E148" s="25" t="s">
        <v>684</v>
      </c>
      <c r="F148" s="36" t="str">
        <f>+_xlfn.XLOOKUP(E148,Data_Cleaning!$B$6:$B$50,Data_Cleaning!$C$6:$C$50)</f>
        <v>Barcelona​</v>
      </c>
      <c r="G148" s="40" t="s">
        <v>762</v>
      </c>
      <c r="H148" s="24" t="str">
        <f>+_xlfn.XLOOKUP(G148,Data_Cleaning!$J$6:$J$11,Data_Cleaning!$K$6:$K$11)</f>
        <v>Social Sciences</v>
      </c>
      <c r="I148" s="12">
        <v>5218</v>
      </c>
      <c r="J148" s="12">
        <v>5000</v>
      </c>
      <c r="K148" s="12">
        <v>7680</v>
      </c>
      <c r="L148" s="12">
        <v>6833</v>
      </c>
    </row>
    <row r="149" spans="2:12" ht="15" customHeight="1">
      <c r="B149" s="10">
        <v>71078</v>
      </c>
      <c r="C149" s="22" t="s">
        <v>436</v>
      </c>
      <c r="D149" s="11" t="s">
        <v>18</v>
      </c>
      <c r="E149" s="25" t="s">
        <v>696</v>
      </c>
      <c r="F149" s="36" t="str">
        <f>+_xlfn.XLOOKUP(E149,Data_Cleaning!$B$6:$B$50,Data_Cleaning!$C$6:$C$50)</f>
        <v>Tarragona​</v>
      </c>
      <c r="G149" s="40" t="str" cm="1">
        <f t="array" ref="G149">_xlfn.XLOOKUP(TRUE,ISNUMBER(SEARCH(Data_Cleaning!$F$6:$F$36,C149)),Data_Cleaning!$G$6:$G$36,"Other",0)</f>
        <v>Arts and Humanities</v>
      </c>
      <c r="H149" s="24" t="str">
        <f>+_xlfn.XLOOKUP(G149,Data_Cleaning!$J$6:$J$11,Data_Cleaning!$K$6:$K$11)</f>
        <v>Arts and Humanities</v>
      </c>
      <c r="I149" s="12">
        <v>5228</v>
      </c>
      <c r="J149" s="12">
        <v>6438</v>
      </c>
      <c r="K149" s="12">
        <v>5000</v>
      </c>
      <c r="L149" s="12">
        <v>8333</v>
      </c>
    </row>
    <row r="150" spans="2:12" ht="15" customHeight="1">
      <c r="B150" s="10">
        <v>61014</v>
      </c>
      <c r="C150" s="22" t="s">
        <v>318</v>
      </c>
      <c r="D150" s="11" t="s">
        <v>25</v>
      </c>
      <c r="E150" s="25" t="s">
        <v>688</v>
      </c>
      <c r="F150" s="36" t="str">
        <f>+_xlfn.XLOOKUP(E150,Data_Cleaning!$B$6:$B$50,Data_Cleaning!$C$6:$C$50)</f>
        <v>Lleida​</v>
      </c>
      <c r="G150" s="40" t="str" cm="1">
        <f t="array" ref="G150">_xlfn.XLOOKUP(TRUE,ISNUMBER(SEARCH(Data_Cleaning!$F$6:$F$36,C150)),Data_Cleaning!$G$6:$G$36,"Other",0)</f>
        <v>Engineering and Architecture</v>
      </c>
      <c r="H150" s="24" t="str">
        <f>+_xlfn.XLOOKUP(G150,Data_Cleaning!$J$6:$J$11,Data_Cleaning!$K$6:$K$11)</f>
        <v>Science and Technology</v>
      </c>
      <c r="I150" s="12">
        <v>5324</v>
      </c>
      <c r="J150" s="12">
        <v>5000</v>
      </c>
      <c r="K150" s="12">
        <v>5000</v>
      </c>
      <c r="L150" s="12">
        <v>5000</v>
      </c>
    </row>
    <row r="151" spans="2:12" ht="15" customHeight="1">
      <c r="B151" s="10">
        <v>91030</v>
      </c>
      <c r="C151" s="23" t="s">
        <v>628</v>
      </c>
      <c r="D151" s="11" t="s">
        <v>28</v>
      </c>
      <c r="E151" s="25" t="s">
        <v>692</v>
      </c>
      <c r="F151" s="36" t="str">
        <f>+_xlfn.XLOOKUP(E151,Data_Cleaning!$B$6:$B$50,Data_Cleaning!$C$6:$C$50)</f>
        <v>Barcelona​</v>
      </c>
      <c r="G151" s="40" t="str" cm="1">
        <f t="array" ref="G151">_xlfn.XLOOKUP(TRUE,ISNUMBER(SEARCH(Data_Cleaning!$F$6:$F$36,C151)),Data_Cleaning!$G$6:$G$36,"Other",0)</f>
        <v>Double Degree</v>
      </c>
      <c r="H151" s="24" t="s">
        <v>775</v>
      </c>
      <c r="I151" s="12">
        <v>5400</v>
      </c>
      <c r="J151" s="12">
        <v>5000</v>
      </c>
      <c r="K151" s="12">
        <v>5000</v>
      </c>
      <c r="L151" s="12">
        <v>5000</v>
      </c>
    </row>
    <row r="152" spans="2:12" ht="15" customHeight="1">
      <c r="B152" s="10">
        <v>71003</v>
      </c>
      <c r="C152" s="22" t="s">
        <v>49</v>
      </c>
      <c r="D152" s="11" t="s">
        <v>18</v>
      </c>
      <c r="E152" s="25" t="s">
        <v>696</v>
      </c>
      <c r="F152" s="36" t="str">
        <f>+_xlfn.XLOOKUP(E152,Data_Cleaning!$B$6:$B$50,Data_Cleaning!$C$6:$C$50)</f>
        <v>Tarragona​</v>
      </c>
      <c r="G152" s="40" t="s">
        <v>775</v>
      </c>
      <c r="H152" s="24" t="str">
        <f>+_xlfn.XLOOKUP(G152,Data_Cleaning!$J$6:$J$11,Data_Cleaning!$K$6:$K$11)</f>
        <v>Arts and Humanities</v>
      </c>
      <c r="I152" s="12">
        <v>5404</v>
      </c>
      <c r="J152" s="12">
        <v>6938</v>
      </c>
      <c r="K152" s="12">
        <v>5000</v>
      </c>
      <c r="L152" s="12">
        <v>5000</v>
      </c>
    </row>
    <row r="153" spans="2:12" ht="15" customHeight="1">
      <c r="B153" s="10">
        <v>11108</v>
      </c>
      <c r="C153" s="22" t="s">
        <v>409</v>
      </c>
      <c r="D153" s="11" t="s">
        <v>16</v>
      </c>
      <c r="E153" s="25" t="s">
        <v>684</v>
      </c>
      <c r="F153" s="36" t="str">
        <f>+_xlfn.XLOOKUP(E153,Data_Cleaning!$B$6:$B$50,Data_Cleaning!$C$6:$C$50)</f>
        <v>Barcelona​</v>
      </c>
      <c r="G153" s="40" t="s">
        <v>762</v>
      </c>
      <c r="H153" s="24" t="str">
        <f>+_xlfn.XLOOKUP(G153,Data_Cleaning!$J$6:$J$11,Data_Cleaning!$K$6:$K$11)</f>
        <v>Social Sciences</v>
      </c>
      <c r="I153" s="12">
        <v>5480</v>
      </c>
      <c r="J153" s="12">
        <v>5000</v>
      </c>
      <c r="K153" s="12">
        <v>6380</v>
      </c>
      <c r="L153" s="12">
        <v>5000</v>
      </c>
    </row>
    <row r="154" spans="2:12" ht="15" customHeight="1">
      <c r="B154" s="10">
        <v>71013</v>
      </c>
      <c r="C154" s="22" t="s">
        <v>342</v>
      </c>
      <c r="D154" s="11" t="s">
        <v>18</v>
      </c>
      <c r="E154" s="25" t="s">
        <v>696</v>
      </c>
      <c r="F154" s="36" t="str">
        <f>+_xlfn.XLOOKUP(E154,Data_Cleaning!$B$6:$B$50,Data_Cleaning!$C$6:$C$50)</f>
        <v>Tarragona​</v>
      </c>
      <c r="G154" s="40" t="s">
        <v>768</v>
      </c>
      <c r="H154" s="24" t="str">
        <f>+_xlfn.XLOOKUP(G154,Data_Cleaning!$J$6:$J$11,Data_Cleaning!$K$6:$K$11)</f>
        <v>Science and Technology</v>
      </c>
      <c r="I154" s="12">
        <v>5490</v>
      </c>
      <c r="J154" s="12">
        <v>5000</v>
      </c>
      <c r="K154" s="12">
        <v>5000</v>
      </c>
      <c r="L154" s="12">
        <v>5000</v>
      </c>
    </row>
    <row r="155" spans="2:12" ht="15" customHeight="1">
      <c r="B155" s="10">
        <v>71077</v>
      </c>
      <c r="C155" s="22" t="s">
        <v>430</v>
      </c>
      <c r="D155" s="11" t="s">
        <v>18</v>
      </c>
      <c r="E155" s="25" t="s">
        <v>696</v>
      </c>
      <c r="F155" s="36" t="str">
        <f>+_xlfn.XLOOKUP(E155,Data_Cleaning!$B$6:$B$50,Data_Cleaning!$C$6:$C$50)</f>
        <v>Tarragona​</v>
      </c>
      <c r="G155" s="40" t="str" cm="1">
        <f t="array" ref="G155">_xlfn.XLOOKUP(TRUE,ISNUMBER(SEARCH(Data_Cleaning!$F$6:$F$36,C155)),Data_Cleaning!$G$6:$G$36,"Other",0)</f>
        <v>Arts and Humanities</v>
      </c>
      <c r="H155" s="24" t="str">
        <f>+_xlfn.XLOOKUP(G155,Data_Cleaning!$J$6:$J$11,Data_Cleaning!$K$6:$K$11)</f>
        <v>Arts and Humanities</v>
      </c>
      <c r="I155" s="12">
        <v>5496</v>
      </c>
      <c r="J155" s="12">
        <v>5000</v>
      </c>
      <c r="K155" s="12">
        <v>5000</v>
      </c>
      <c r="L155" s="12">
        <v>6667</v>
      </c>
    </row>
    <row r="156" spans="2:12" ht="15" customHeight="1">
      <c r="B156" s="10">
        <v>21037</v>
      </c>
      <c r="C156" s="22" t="s">
        <v>414</v>
      </c>
      <c r="D156" s="11" t="s">
        <v>20</v>
      </c>
      <c r="E156" s="25" t="s">
        <v>685</v>
      </c>
      <c r="F156" s="36" t="str">
        <f>+_xlfn.XLOOKUP(E156,Data_Cleaning!$B$6:$B$50,Data_Cleaning!$C$6:$C$50)</f>
        <v>Barcelona​</v>
      </c>
      <c r="G156" s="40" t="s">
        <v>756</v>
      </c>
      <c r="H156" s="24" t="str">
        <f>+_xlfn.XLOOKUP(G156,Data_Cleaning!$J$6:$J$11,Data_Cleaning!$K$6:$K$11)</f>
        <v>Science and Technology</v>
      </c>
      <c r="I156" s="12">
        <v>5498</v>
      </c>
      <c r="J156" s="12">
        <v>5000</v>
      </c>
      <c r="K156" s="12">
        <v>5000</v>
      </c>
      <c r="L156" s="12">
        <v>5000</v>
      </c>
    </row>
    <row r="157" spans="2:12" ht="15" customHeight="1">
      <c r="B157" s="10">
        <v>11032</v>
      </c>
      <c r="C157" s="22" t="s">
        <v>413</v>
      </c>
      <c r="D157" s="11" t="s">
        <v>16</v>
      </c>
      <c r="E157" s="25" t="s">
        <v>684</v>
      </c>
      <c r="F157" s="36" t="str">
        <f>+_xlfn.XLOOKUP(E157,Data_Cleaning!$B$6:$B$50,Data_Cleaning!$C$6:$C$50)</f>
        <v>Barcelona​</v>
      </c>
      <c r="G157" s="40" t="s">
        <v>756</v>
      </c>
      <c r="H157" s="24" t="str">
        <f>+_xlfn.XLOOKUP(G157,Data_Cleaning!$J$6:$J$11,Data_Cleaning!$K$6:$K$11)</f>
        <v>Science and Technology</v>
      </c>
      <c r="I157" s="12">
        <v>5578</v>
      </c>
      <c r="J157" s="12">
        <v>5000</v>
      </c>
      <c r="K157" s="12">
        <v>7020</v>
      </c>
      <c r="L157" s="12">
        <v>8167</v>
      </c>
    </row>
    <row r="158" spans="2:12" ht="15" customHeight="1">
      <c r="B158" s="10">
        <v>21135</v>
      </c>
      <c r="C158" s="22" t="s">
        <v>347</v>
      </c>
      <c r="D158" s="11" t="s">
        <v>20</v>
      </c>
      <c r="E158" s="25" t="s">
        <v>685</v>
      </c>
      <c r="F158" s="36" t="str">
        <f>+_xlfn.XLOOKUP(E158,Data_Cleaning!$B$6:$B$50,Data_Cleaning!$C$6:$C$50)</f>
        <v>Barcelona​</v>
      </c>
      <c r="G158" s="40" t="s">
        <v>775</v>
      </c>
      <c r="H158" s="24" t="str">
        <f>+_xlfn.XLOOKUP(G158,Data_Cleaning!$J$6:$J$11,Data_Cleaning!$K$6:$K$11)</f>
        <v>Arts and Humanities</v>
      </c>
      <c r="I158" s="12">
        <v>5594</v>
      </c>
      <c r="J158" s="12">
        <v>5000</v>
      </c>
      <c r="K158" s="12">
        <v>5000</v>
      </c>
      <c r="L158" s="12">
        <v>5000</v>
      </c>
    </row>
    <row r="159" spans="2:12" ht="15" customHeight="1">
      <c r="B159" s="10">
        <v>91042</v>
      </c>
      <c r="C159" s="22" t="s">
        <v>27</v>
      </c>
      <c r="D159" s="11" t="s">
        <v>28</v>
      </c>
      <c r="E159" s="25" t="s">
        <v>689</v>
      </c>
      <c r="F159" s="36" t="str">
        <f>+_xlfn.XLOOKUP(E159,Data_Cleaning!$B$6:$B$50,Data_Cleaning!$C$6:$C$50)</f>
        <v>Barcelona​</v>
      </c>
      <c r="G159" s="40" t="str" cm="1">
        <f t="array" ref="G159">_xlfn.XLOOKUP(TRUE,ISNUMBER(SEARCH(Data_Cleaning!$F$6:$F$36,C159)),Data_Cleaning!$G$6:$G$36,"Other",0)</f>
        <v>Social Sciences and Law</v>
      </c>
      <c r="H159" s="24" t="str">
        <f>+_xlfn.XLOOKUP(G159,Data_Cleaning!$J$6:$J$11,Data_Cleaning!$K$6:$K$11)</f>
        <v>Social Sciences</v>
      </c>
      <c r="I159" s="12">
        <v>5716</v>
      </c>
      <c r="J159" s="12">
        <v>5000</v>
      </c>
      <c r="K159" s="12">
        <v>5000</v>
      </c>
      <c r="L159" s="12">
        <v>5000</v>
      </c>
    </row>
    <row r="160" spans="2:12" ht="15" customHeight="1">
      <c r="B160" s="10">
        <v>91032</v>
      </c>
      <c r="C160" s="22" t="s">
        <v>480</v>
      </c>
      <c r="D160" s="11" t="s">
        <v>28</v>
      </c>
      <c r="E160" s="25" t="s">
        <v>692</v>
      </c>
      <c r="F160" s="36" t="str">
        <f>+_xlfn.XLOOKUP(E160,Data_Cleaning!$B$6:$B$50,Data_Cleaning!$C$6:$C$50)</f>
        <v>Barcelona​</v>
      </c>
      <c r="G160" s="40" t="str" cm="1">
        <f t="array" ref="G160">_xlfn.XLOOKUP(TRUE,ISNUMBER(SEARCH(Data_Cleaning!$F$6:$F$36,C160)),Data_Cleaning!$G$6:$G$36,"Other",0)</f>
        <v>Social Sciences and Law</v>
      </c>
      <c r="H160" s="24" t="str">
        <f>+_xlfn.XLOOKUP(G160,Data_Cleaning!$J$6:$J$11,Data_Cleaning!$K$6:$K$11)</f>
        <v>Social Sciences</v>
      </c>
      <c r="I160" s="12">
        <v>5726</v>
      </c>
      <c r="J160" s="12">
        <v>5000</v>
      </c>
      <c r="K160" s="12">
        <v>5000</v>
      </c>
      <c r="L160" s="12">
        <v>5000</v>
      </c>
    </row>
    <row r="161" spans="2:12" ht="15" customHeight="1">
      <c r="B161" s="10">
        <v>81082</v>
      </c>
      <c r="C161" s="22" t="s">
        <v>117</v>
      </c>
      <c r="D161" s="11" t="s">
        <v>23</v>
      </c>
      <c r="E161" s="25" t="s">
        <v>698</v>
      </c>
      <c r="F161" s="36" t="str">
        <f>+_xlfn.XLOOKUP(E161,Data_Cleaning!$B$6:$B$50,Data_Cleaning!$C$6:$C$50)</f>
        <v>Girona​</v>
      </c>
      <c r="G161" s="40" t="str" cm="1">
        <f t="array" ref="G161">_xlfn.XLOOKUP(TRUE,ISNUMBER(SEARCH(Data_Cleaning!$F$6:$F$36,C161)),Data_Cleaning!$G$6:$G$36,"Other",0)</f>
        <v>Sciences</v>
      </c>
      <c r="H161" s="24" t="str">
        <f>+_xlfn.XLOOKUP(G161,Data_Cleaning!$J$6:$J$11,Data_Cleaning!$K$6:$K$11)</f>
        <v>Science and Technology</v>
      </c>
      <c r="I161" s="12">
        <v>5730</v>
      </c>
      <c r="J161" s="12">
        <v>5000</v>
      </c>
      <c r="K161" s="12">
        <v>5000</v>
      </c>
      <c r="L161" s="12">
        <v>5000</v>
      </c>
    </row>
    <row r="162" spans="2:12" ht="15" customHeight="1">
      <c r="B162" s="10">
        <v>91055</v>
      </c>
      <c r="C162" s="23" t="s">
        <v>610</v>
      </c>
      <c r="D162" s="11" t="s">
        <v>28</v>
      </c>
      <c r="E162" s="25" t="s">
        <v>692</v>
      </c>
      <c r="F162" s="36" t="str">
        <f>+_xlfn.XLOOKUP(E162,Data_Cleaning!$B$6:$B$50,Data_Cleaning!$C$6:$C$50)</f>
        <v>Barcelona​</v>
      </c>
      <c r="G162" s="40" t="str" cm="1">
        <f t="array" ref="G162">_xlfn.XLOOKUP(TRUE,ISNUMBER(SEARCH(Data_Cleaning!$F$6:$F$36,C162)),Data_Cleaning!$G$6:$G$36,"Other",0)</f>
        <v>Double Degree</v>
      </c>
      <c r="H162" s="24" t="s">
        <v>794</v>
      </c>
      <c r="I162" s="12">
        <v>5734</v>
      </c>
      <c r="J162" s="12">
        <v>5000</v>
      </c>
      <c r="K162" s="12">
        <v>5000</v>
      </c>
      <c r="L162" s="12">
        <v>5000</v>
      </c>
    </row>
    <row r="163" spans="2:12" ht="15" customHeight="1">
      <c r="B163" s="10">
        <v>61008</v>
      </c>
      <c r="C163" s="22" t="s">
        <v>96</v>
      </c>
      <c r="D163" s="11" t="s">
        <v>25</v>
      </c>
      <c r="E163" s="25" t="s">
        <v>688</v>
      </c>
      <c r="F163" s="36" t="str">
        <f>+_xlfn.XLOOKUP(E163,Data_Cleaning!$B$6:$B$50,Data_Cleaning!$C$6:$C$50)</f>
        <v>Lleida​</v>
      </c>
      <c r="G163" s="36" t="s">
        <v>768</v>
      </c>
      <c r="H163" s="24" t="str">
        <f>+_xlfn.XLOOKUP(G163,Data_Cleaning!$J$6:$J$11,Data_Cleaning!$K$6:$K$11)</f>
        <v>Science and Technology</v>
      </c>
      <c r="I163" s="12">
        <v>5770</v>
      </c>
      <c r="J163" s="12">
        <v>5000</v>
      </c>
      <c r="K163" s="12">
        <v>5000</v>
      </c>
      <c r="L163" s="12">
        <v>5000</v>
      </c>
    </row>
    <row r="164" spans="2:12" ht="15" customHeight="1">
      <c r="B164" s="10">
        <v>41048</v>
      </c>
      <c r="C164" s="22" t="s">
        <v>474</v>
      </c>
      <c r="D164" s="11" t="s">
        <v>11</v>
      </c>
      <c r="E164" s="25" t="s">
        <v>683</v>
      </c>
      <c r="F164" s="36" t="str">
        <f>+_xlfn.XLOOKUP(E164,Data_Cleaning!$B$6:$B$50,Data_Cleaning!$C$6:$C$50)</f>
        <v>Barcelona​</v>
      </c>
      <c r="G164" s="40" t="s">
        <v>753</v>
      </c>
      <c r="H164" s="24" t="str">
        <f>+_xlfn.XLOOKUP(G164,Data_Cleaning!$J$6:$J$11,Data_Cleaning!$K$6:$K$11)</f>
        <v>Science and Technology</v>
      </c>
      <c r="I164" s="12">
        <v>5802</v>
      </c>
      <c r="J164" s="12">
        <v>5000</v>
      </c>
      <c r="K164" s="12">
        <v>5000</v>
      </c>
      <c r="L164" s="12">
        <v>5000</v>
      </c>
    </row>
    <row r="165" spans="2:12" ht="15" customHeight="1">
      <c r="B165" s="10">
        <v>31126</v>
      </c>
      <c r="C165" s="23" t="s">
        <v>629</v>
      </c>
      <c r="D165" s="11" t="s">
        <v>58</v>
      </c>
      <c r="E165" s="25" t="s">
        <v>684</v>
      </c>
      <c r="F165" s="36" t="str">
        <f>+_xlfn.XLOOKUP(E165,Data_Cleaning!$B$6:$B$50,Data_Cleaning!$C$6:$C$50)</f>
        <v>Barcelona​</v>
      </c>
      <c r="G165" s="40" t="str" cm="1">
        <f t="array" ref="G165">_xlfn.XLOOKUP(TRUE,ISNUMBER(SEARCH(Data_Cleaning!$F$6:$F$36,C165)),Data_Cleaning!$G$6:$G$36,"Other",0)</f>
        <v>Social Sciences and Law</v>
      </c>
      <c r="H165" s="24" t="str">
        <f>+_xlfn.XLOOKUP(G165,Data_Cleaning!$J$6:$J$11,Data_Cleaning!$K$6:$K$11)</f>
        <v>Social Sciences</v>
      </c>
      <c r="I165" s="12">
        <v>5846</v>
      </c>
      <c r="J165" s="12">
        <v>5000</v>
      </c>
      <c r="K165" s="12">
        <v>5000</v>
      </c>
      <c r="L165" s="12">
        <v>5000</v>
      </c>
    </row>
    <row r="166" spans="2:12" ht="15" customHeight="1">
      <c r="B166" s="10">
        <v>41039</v>
      </c>
      <c r="C166" s="22" t="s">
        <v>481</v>
      </c>
      <c r="D166" s="11" t="s">
        <v>11</v>
      </c>
      <c r="E166" s="25" t="s">
        <v>683</v>
      </c>
      <c r="F166" s="36" t="str">
        <f>+_xlfn.XLOOKUP(E166,Data_Cleaning!$B$6:$B$50,Data_Cleaning!$C$6:$C$50)</f>
        <v>Barcelona​</v>
      </c>
      <c r="G166" s="40" t="str" cm="1">
        <f t="array" ref="G166">_xlfn.XLOOKUP(TRUE,ISNUMBER(SEARCH(Data_Cleaning!$F$6:$F$36,C166)),Data_Cleaning!$G$6:$G$36,"Other",0)</f>
        <v>Social Sciences and Law</v>
      </c>
      <c r="H166" s="24" t="str">
        <f>+_xlfn.XLOOKUP(G166,Data_Cleaning!$J$6:$J$11,Data_Cleaning!$K$6:$K$11)</f>
        <v>Social Sciences</v>
      </c>
      <c r="I166" s="12">
        <v>5876</v>
      </c>
      <c r="J166" s="12">
        <v>5000</v>
      </c>
      <c r="K166" s="12">
        <v>5000</v>
      </c>
      <c r="L166" s="12">
        <v>5000</v>
      </c>
    </row>
    <row r="167" spans="2:12" ht="15" customHeight="1">
      <c r="B167" s="10">
        <v>21067</v>
      </c>
      <c r="C167" s="22" t="s">
        <v>356</v>
      </c>
      <c r="D167" s="11" t="s">
        <v>20</v>
      </c>
      <c r="E167" s="25" t="s">
        <v>685</v>
      </c>
      <c r="F167" s="36" t="str">
        <f>+_xlfn.XLOOKUP(E167,Data_Cleaning!$B$6:$B$50,Data_Cleaning!$C$6:$C$50)</f>
        <v>Barcelona​</v>
      </c>
      <c r="G167" s="36" t="s">
        <v>775</v>
      </c>
      <c r="H167" s="24" t="str">
        <f>+_xlfn.XLOOKUP(G167,Data_Cleaning!$J$6:$J$11,Data_Cleaning!$K$6:$K$11)</f>
        <v>Arts and Humanities</v>
      </c>
      <c r="I167" s="12">
        <v>5880</v>
      </c>
      <c r="J167" s="12">
        <v>5000</v>
      </c>
      <c r="K167" s="12">
        <v>5000</v>
      </c>
      <c r="L167" s="12">
        <v>5000</v>
      </c>
    </row>
    <row r="168" spans="2:12" ht="15" customHeight="1">
      <c r="B168" s="10">
        <v>11061</v>
      </c>
      <c r="C168" s="22" t="s">
        <v>382</v>
      </c>
      <c r="D168" s="11" t="s">
        <v>16</v>
      </c>
      <c r="E168" s="25" t="s">
        <v>684</v>
      </c>
      <c r="F168" s="36" t="str">
        <f>+_xlfn.XLOOKUP(E168,Data_Cleaning!$B$6:$B$50,Data_Cleaning!$C$6:$C$50)</f>
        <v>Barcelona​</v>
      </c>
      <c r="G168" s="36" t="s">
        <v>775</v>
      </c>
      <c r="H168" s="24" t="str">
        <f>+_xlfn.XLOOKUP(G168,Data_Cleaning!$J$6:$J$11,Data_Cleaning!$K$6:$K$11)</f>
        <v>Arts and Humanities</v>
      </c>
      <c r="I168" s="12">
        <v>5894</v>
      </c>
      <c r="J168" s="12">
        <v>5000</v>
      </c>
      <c r="K168" s="12">
        <v>7860</v>
      </c>
      <c r="L168" s="12">
        <v>7333</v>
      </c>
    </row>
    <row r="169" spans="2:12" ht="15" customHeight="1">
      <c r="B169" s="10">
        <v>11021</v>
      </c>
      <c r="C169" s="22" t="s">
        <v>346</v>
      </c>
      <c r="D169" s="11" t="s">
        <v>16</v>
      </c>
      <c r="E169" s="25" t="s">
        <v>684</v>
      </c>
      <c r="F169" s="36" t="str">
        <f>+_xlfn.XLOOKUP(E169,Data_Cleaning!$B$6:$B$50,Data_Cleaning!$C$6:$C$50)</f>
        <v>Barcelona​</v>
      </c>
      <c r="G169" s="36" t="s">
        <v>775</v>
      </c>
      <c r="H169" s="24" t="str">
        <f>+_xlfn.XLOOKUP(G169,Data_Cleaning!$J$6:$J$11,Data_Cleaning!$K$6:$K$11)</f>
        <v>Arts and Humanities</v>
      </c>
      <c r="I169" s="12">
        <v>5914</v>
      </c>
      <c r="J169" s="12">
        <v>5000</v>
      </c>
      <c r="K169" s="12">
        <v>5000</v>
      </c>
      <c r="L169" s="12">
        <v>5000</v>
      </c>
    </row>
    <row r="170" spans="2:12" ht="15" customHeight="1">
      <c r="B170" s="10">
        <v>21127</v>
      </c>
      <c r="C170" s="23" t="s">
        <v>653</v>
      </c>
      <c r="D170" s="11" t="s">
        <v>20</v>
      </c>
      <c r="E170" s="25" t="s">
        <v>684</v>
      </c>
      <c r="F170" s="36" t="str">
        <f>+_xlfn.XLOOKUP(E170,Data_Cleaning!$B$6:$B$50,Data_Cleaning!$C$6:$C$50)</f>
        <v>Barcelona​</v>
      </c>
      <c r="G170" s="36" t="str" cm="1">
        <f t="array" ref="G170">_xlfn.XLOOKUP(TRUE,ISNUMBER(SEARCH(Data_Cleaning!$F$6:$F$36,C170)),Data_Cleaning!$G$6:$G$36,"Other",0)</f>
        <v>Engineering and Architecture</v>
      </c>
      <c r="H170" s="24" t="str">
        <f>+_xlfn.XLOOKUP(G170,Data_Cleaning!$J$6:$J$11,Data_Cleaning!$K$6:$K$11)</f>
        <v>Science and Technology</v>
      </c>
      <c r="I170" s="12">
        <v>6007</v>
      </c>
      <c r="J170" s="12">
        <v>5000</v>
      </c>
      <c r="K170" s="12">
        <v>5000</v>
      </c>
      <c r="L170" s="12">
        <v>5000</v>
      </c>
    </row>
    <row r="171" spans="2:12" ht="15" customHeight="1">
      <c r="B171" s="10">
        <v>41006</v>
      </c>
      <c r="C171" s="22" t="s">
        <v>569</v>
      </c>
      <c r="D171" s="11" t="s">
        <v>11</v>
      </c>
      <c r="E171" s="25" t="s">
        <v>684</v>
      </c>
      <c r="F171" s="36" t="str">
        <f>+_xlfn.XLOOKUP(E171,Data_Cleaning!$B$6:$B$50,Data_Cleaning!$C$6:$C$50)</f>
        <v>Barcelona​</v>
      </c>
      <c r="G171" s="36" t="s">
        <v>762</v>
      </c>
      <c r="H171" s="24" t="str">
        <f>+_xlfn.XLOOKUP(G171,Data_Cleaning!$J$6:$J$11,Data_Cleaning!$K$6:$K$11)</f>
        <v>Social Sciences</v>
      </c>
      <c r="I171" s="12">
        <v>6132</v>
      </c>
      <c r="J171" s="12">
        <v>5000</v>
      </c>
      <c r="K171" s="12">
        <v>5000</v>
      </c>
      <c r="L171" s="12">
        <v>5000</v>
      </c>
    </row>
    <row r="172" spans="2:12" ht="15" customHeight="1">
      <c r="B172" s="10">
        <v>61034</v>
      </c>
      <c r="C172" s="22" t="s">
        <v>574</v>
      </c>
      <c r="D172" s="11" t="s">
        <v>25</v>
      </c>
      <c r="E172" s="25" t="s">
        <v>688</v>
      </c>
      <c r="F172" s="36" t="str">
        <f>+_xlfn.XLOOKUP(E172,Data_Cleaning!$B$6:$B$50,Data_Cleaning!$C$6:$C$50)</f>
        <v>Lleida​</v>
      </c>
      <c r="G172" s="36" t="str" cm="1">
        <f t="array" ref="G172">_xlfn.XLOOKUP(TRUE,ISNUMBER(SEARCH(Data_Cleaning!$F$6:$F$36,C172)),Data_Cleaning!$G$6:$G$36,"Other",0)</f>
        <v>Social Sciences and Law</v>
      </c>
      <c r="H172" s="24" t="str">
        <f>+_xlfn.XLOOKUP(G172,Data_Cleaning!$J$6:$J$11,Data_Cleaning!$K$6:$K$11)</f>
        <v>Social Sciences</v>
      </c>
      <c r="I172" s="12">
        <v>6136</v>
      </c>
      <c r="J172" s="12">
        <v>5000</v>
      </c>
      <c r="K172" s="12">
        <v>5000</v>
      </c>
      <c r="L172" s="12">
        <v>5000</v>
      </c>
    </row>
    <row r="173" spans="2:12" ht="15" customHeight="1">
      <c r="B173" s="10">
        <v>11107</v>
      </c>
      <c r="C173" s="22" t="s">
        <v>178</v>
      </c>
      <c r="D173" s="11" t="s">
        <v>16</v>
      </c>
      <c r="E173" s="25" t="s">
        <v>684</v>
      </c>
      <c r="F173" s="36" t="str">
        <f>+_xlfn.XLOOKUP(E173,Data_Cleaning!$B$6:$B$50,Data_Cleaning!$C$6:$C$50)</f>
        <v>Barcelona​</v>
      </c>
      <c r="G173" s="36" t="s">
        <v>753</v>
      </c>
      <c r="H173" s="24" t="str">
        <f>+_xlfn.XLOOKUP(G173,Data_Cleaning!$J$6:$J$11,Data_Cleaning!$K$6:$K$11)</f>
        <v>Science and Technology</v>
      </c>
      <c r="I173" s="12">
        <v>6148</v>
      </c>
      <c r="J173" s="12">
        <v>5000</v>
      </c>
      <c r="K173" s="12">
        <v>5000</v>
      </c>
      <c r="L173" s="12">
        <v>5000</v>
      </c>
    </row>
    <row r="174" spans="2:12" ht="15" customHeight="1">
      <c r="B174" s="10">
        <v>11025</v>
      </c>
      <c r="C174" s="22" t="s">
        <v>371</v>
      </c>
      <c r="D174" s="11" t="s">
        <v>16</v>
      </c>
      <c r="E174" s="25" t="s">
        <v>684</v>
      </c>
      <c r="F174" s="36" t="str">
        <f>+_xlfn.XLOOKUP(E174,Data_Cleaning!$B$6:$B$50,Data_Cleaning!$C$6:$C$50)</f>
        <v>Barcelona​</v>
      </c>
      <c r="G174" s="36" t="str" cm="1">
        <f t="array" ref="G174">_xlfn.XLOOKUP(TRUE,ISNUMBER(SEARCH(Data_Cleaning!$F$6:$F$36,C174)),Data_Cleaning!$G$6:$G$36,"Other",0)</f>
        <v>Arts and Humanities</v>
      </c>
      <c r="H174" s="24" t="str">
        <f>+_xlfn.XLOOKUP(G174,Data_Cleaning!$J$6:$J$11,Data_Cleaning!$K$6:$K$11)</f>
        <v>Arts and Humanities</v>
      </c>
      <c r="I174" s="12">
        <v>6160</v>
      </c>
      <c r="J174" s="12">
        <v>5000</v>
      </c>
      <c r="K174" s="12">
        <v>7100</v>
      </c>
      <c r="L174" s="12">
        <v>5667</v>
      </c>
    </row>
    <row r="175" spans="2:12" ht="15" customHeight="1">
      <c r="B175" s="10">
        <v>21112</v>
      </c>
      <c r="C175" s="23" t="s">
        <v>652</v>
      </c>
      <c r="D175" s="11" t="s">
        <v>20</v>
      </c>
      <c r="E175" s="25" t="s">
        <v>684</v>
      </c>
      <c r="F175" s="36" t="str">
        <f>+_xlfn.XLOOKUP(E175,Data_Cleaning!$B$6:$B$50,Data_Cleaning!$C$6:$C$50)</f>
        <v>Barcelona​</v>
      </c>
      <c r="G175" s="36" t="str" cm="1">
        <f t="array" ref="G175">_xlfn.XLOOKUP(TRUE,ISNUMBER(SEARCH(Data_Cleaning!$F$6:$F$36,C175)),Data_Cleaning!$G$6:$G$36,"Other",0)</f>
        <v>Double Degree</v>
      </c>
      <c r="H175" s="24" t="s">
        <v>794</v>
      </c>
      <c r="I175" s="12">
        <v>6255</v>
      </c>
      <c r="J175" s="12">
        <v>5000</v>
      </c>
      <c r="K175" s="12">
        <v>5000</v>
      </c>
      <c r="L175" s="12">
        <v>5000</v>
      </c>
    </row>
    <row r="176" spans="2:12" ht="15" customHeight="1">
      <c r="B176" s="10">
        <v>71086</v>
      </c>
      <c r="C176" s="22" t="s">
        <v>112</v>
      </c>
      <c r="D176" s="11" t="s">
        <v>18</v>
      </c>
      <c r="E176" s="25" t="s">
        <v>702</v>
      </c>
      <c r="F176" s="36" t="str">
        <f>+_xlfn.XLOOKUP(E176,Data_Cleaning!$B$6:$B$50,Data_Cleaning!$C$6:$C$50)</f>
        <v>Tarragona​</v>
      </c>
      <c r="G176" s="36" t="str" cm="1">
        <f t="array" ref="G176">_xlfn.XLOOKUP(TRUE,ISNUMBER(SEARCH(Data_Cleaning!$F$6:$F$36,C176)),Data_Cleaning!$G$6:$G$36,"Other",0)</f>
        <v>Sciences</v>
      </c>
      <c r="H176" s="24" t="str">
        <f>+_xlfn.XLOOKUP(G176,Data_Cleaning!$J$6:$J$11,Data_Cleaning!$K$6:$K$11)</f>
        <v>Science and Technology</v>
      </c>
      <c r="I176" s="12">
        <v>6260</v>
      </c>
      <c r="J176" s="12">
        <v>5000</v>
      </c>
      <c r="K176" s="12">
        <v>5000</v>
      </c>
      <c r="L176" s="12">
        <v>5000</v>
      </c>
    </row>
    <row r="177" spans="2:12" ht="15" customHeight="1">
      <c r="B177" s="10">
        <v>81008</v>
      </c>
      <c r="C177" s="22" t="s">
        <v>105</v>
      </c>
      <c r="D177" s="11" t="s">
        <v>23</v>
      </c>
      <c r="E177" s="25" t="s">
        <v>686</v>
      </c>
      <c r="F177" s="36" t="str">
        <f>+_xlfn.XLOOKUP(E177,Data_Cleaning!$B$6:$B$50,Data_Cleaning!$C$6:$C$50)</f>
        <v>Girona​</v>
      </c>
      <c r="G177" s="36" t="str" cm="1">
        <f t="array" ref="G177">_xlfn.XLOOKUP(TRUE,ISNUMBER(SEARCH(Data_Cleaning!$F$6:$F$36,C177)),Data_Cleaning!$G$6:$G$36,"Other",0)</f>
        <v>Sciences</v>
      </c>
      <c r="H177" s="24" t="str">
        <f>+_xlfn.XLOOKUP(G177,Data_Cleaning!$J$6:$J$11,Data_Cleaning!$K$6:$K$11)</f>
        <v>Science and Technology</v>
      </c>
      <c r="I177" s="12">
        <v>6264</v>
      </c>
      <c r="J177" s="12">
        <v>5000</v>
      </c>
      <c r="K177" s="12">
        <v>5000</v>
      </c>
      <c r="L177" s="12">
        <v>5000</v>
      </c>
    </row>
    <row r="178" spans="2:12" ht="15" customHeight="1">
      <c r="B178" s="10">
        <v>71061</v>
      </c>
      <c r="C178" s="22" t="s">
        <v>252</v>
      </c>
      <c r="D178" s="11" t="s">
        <v>18</v>
      </c>
      <c r="E178" s="25" t="s">
        <v>696</v>
      </c>
      <c r="F178" s="36" t="str">
        <f>+_xlfn.XLOOKUP(E178,Data_Cleaning!$B$6:$B$50,Data_Cleaning!$C$6:$C$50)</f>
        <v>Tarragona​</v>
      </c>
      <c r="G178" s="36" t="str" cm="1">
        <f t="array" ref="G178">_xlfn.XLOOKUP(TRUE,ISNUMBER(SEARCH(Data_Cleaning!$F$6:$F$36,C178)),Data_Cleaning!$G$6:$G$36,"Other",0)</f>
        <v>Engineering and Architecture</v>
      </c>
      <c r="H178" s="24" t="str">
        <f>+_xlfn.XLOOKUP(G178,Data_Cleaning!$J$6:$J$11,Data_Cleaning!$K$6:$K$11)</f>
        <v>Science and Technology</v>
      </c>
      <c r="I178" s="12">
        <v>6268</v>
      </c>
      <c r="J178" s="12">
        <v>5000</v>
      </c>
      <c r="K178" s="12">
        <v>5000</v>
      </c>
      <c r="L178" s="12">
        <v>5000</v>
      </c>
    </row>
    <row r="179" spans="2:12" ht="15" customHeight="1">
      <c r="B179" s="10">
        <v>71088</v>
      </c>
      <c r="C179" s="23" t="s">
        <v>613</v>
      </c>
      <c r="D179" s="11" t="s">
        <v>18</v>
      </c>
      <c r="E179" s="25" t="s">
        <v>704</v>
      </c>
      <c r="F179" s="36" t="str">
        <f>+_xlfn.XLOOKUP(E179,Data_Cleaning!$B$6:$B$50,Data_Cleaning!$C$6:$C$50)</f>
        <v>Tarragona​</v>
      </c>
      <c r="G179" s="36" t="str" cm="1">
        <f t="array" ref="G179">_xlfn.XLOOKUP(TRUE,ISNUMBER(SEARCH(Data_Cleaning!$F$6:$F$36,C179)),Data_Cleaning!$G$6:$G$36,"Other",0)</f>
        <v>Double Degree</v>
      </c>
      <c r="H179" s="24" t="s">
        <v>794</v>
      </c>
      <c r="I179" s="12">
        <v>6312</v>
      </c>
      <c r="J179" s="12">
        <v>5000</v>
      </c>
      <c r="K179" s="12">
        <v>5000</v>
      </c>
      <c r="L179" s="12">
        <v>5000</v>
      </c>
    </row>
    <row r="180" spans="2:12" ht="15" customHeight="1">
      <c r="B180" s="10">
        <v>31132</v>
      </c>
      <c r="C180" s="23" t="s">
        <v>673</v>
      </c>
      <c r="D180" s="11" t="s">
        <v>58</v>
      </c>
      <c r="E180" s="25" t="s">
        <v>684</v>
      </c>
      <c r="F180" s="36" t="str">
        <f>+_xlfn.XLOOKUP(E180,Data_Cleaning!$B$6:$B$50,Data_Cleaning!$C$6:$C$50)</f>
        <v>Barcelona​</v>
      </c>
      <c r="G180" s="36" t="str" cm="1">
        <f t="array" ref="G180">_xlfn.XLOOKUP(TRUE,ISNUMBER(SEARCH(Data_Cleaning!$F$6:$F$36,C180)),Data_Cleaning!$G$6:$G$36,"Other",0)</f>
        <v>Social Sciences and Law</v>
      </c>
      <c r="H180" s="24" t="str">
        <f>+_xlfn.XLOOKUP(G180,Data_Cleaning!$J$6:$J$11,Data_Cleaning!$K$6:$K$11)</f>
        <v>Social Sciences</v>
      </c>
      <c r="I180" s="12">
        <v>6324</v>
      </c>
      <c r="J180" s="12">
        <v>5000</v>
      </c>
      <c r="K180" s="12">
        <v>5000</v>
      </c>
      <c r="L180" s="12">
        <v>5000</v>
      </c>
    </row>
    <row r="181" spans="2:12" ht="15" customHeight="1">
      <c r="B181" s="10">
        <v>91018</v>
      </c>
      <c r="C181" s="22" t="s">
        <v>76</v>
      </c>
      <c r="D181" s="11" t="s">
        <v>28</v>
      </c>
      <c r="E181" s="25" t="s">
        <v>692</v>
      </c>
      <c r="F181" s="36" t="str">
        <f>+_xlfn.XLOOKUP(E181,Data_Cleaning!$B$6:$B$50,Data_Cleaning!$C$6:$C$50)</f>
        <v>Barcelona​</v>
      </c>
      <c r="G181" s="36" t="str" cm="1">
        <f t="array" ref="G181">_xlfn.XLOOKUP(TRUE,ISNUMBER(SEARCH(Data_Cleaning!$F$6:$F$36,C181)),Data_Cleaning!$G$6:$G$36,"Other",0)</f>
        <v>Sciences</v>
      </c>
      <c r="H181" s="24" t="str">
        <f>+_xlfn.XLOOKUP(G181,Data_Cleaning!$J$6:$J$11,Data_Cleaning!$K$6:$K$11)</f>
        <v>Science and Technology</v>
      </c>
      <c r="I181" s="12">
        <v>6375</v>
      </c>
      <c r="J181" s="12">
        <v>5000</v>
      </c>
      <c r="K181" s="12">
        <v>5000</v>
      </c>
      <c r="L181" s="12">
        <v>5000</v>
      </c>
    </row>
    <row r="182" spans="2:12" ht="15" customHeight="1">
      <c r="B182" s="10">
        <v>81080</v>
      </c>
      <c r="C182" s="23" t="s">
        <v>668</v>
      </c>
      <c r="D182" s="11" t="s">
        <v>23</v>
      </c>
      <c r="E182" s="25" t="s">
        <v>686</v>
      </c>
      <c r="F182" s="36" t="str">
        <f>+_xlfn.XLOOKUP(E182,Data_Cleaning!$B$6:$B$50,Data_Cleaning!$C$6:$C$50)</f>
        <v>Girona​</v>
      </c>
      <c r="G182" s="36" t="str" cm="1">
        <f t="array" ref="G182">_xlfn.XLOOKUP(TRUE,ISNUMBER(SEARCH(Data_Cleaning!$F$6:$F$36,C182)),Data_Cleaning!$G$6:$G$36,"Other",0)</f>
        <v>Double Degree</v>
      </c>
      <c r="H182" s="24" t="s">
        <v>775</v>
      </c>
      <c r="I182" s="12">
        <v>6378</v>
      </c>
      <c r="J182" s="12">
        <v>5000</v>
      </c>
      <c r="K182" s="12">
        <v>5000</v>
      </c>
      <c r="L182" s="12">
        <v>5000</v>
      </c>
    </row>
    <row r="183" spans="2:12" ht="15" customHeight="1">
      <c r="B183" s="10">
        <v>61009</v>
      </c>
      <c r="C183" s="22" t="s">
        <v>146</v>
      </c>
      <c r="D183" s="11" t="s">
        <v>25</v>
      </c>
      <c r="E183" s="25" t="s">
        <v>688</v>
      </c>
      <c r="F183" s="36" t="str">
        <f>+_xlfn.XLOOKUP(E183,Data_Cleaning!$B$6:$B$50,Data_Cleaning!$C$6:$C$50)</f>
        <v>Lleida​</v>
      </c>
      <c r="G183" s="36" t="str" cm="1">
        <f t="array" ref="G183">_xlfn.XLOOKUP(TRUE,ISNUMBER(SEARCH(Data_Cleaning!$F$6:$F$36,C183)),Data_Cleaning!$G$6:$G$36,"Other",0)</f>
        <v>Social Sciences and Law</v>
      </c>
      <c r="H183" s="24" t="str">
        <f>+_xlfn.XLOOKUP(G183,Data_Cleaning!$J$6:$J$11,Data_Cleaning!$K$6:$K$11)</f>
        <v>Social Sciences</v>
      </c>
      <c r="I183" s="12">
        <v>6394</v>
      </c>
      <c r="J183" s="12">
        <v>5000</v>
      </c>
      <c r="K183" s="12">
        <v>5000</v>
      </c>
      <c r="L183" s="12">
        <v>5000</v>
      </c>
    </row>
    <row r="184" spans="2:12" ht="15" customHeight="1">
      <c r="B184" s="10">
        <v>91003</v>
      </c>
      <c r="C184" s="22" t="s">
        <v>31</v>
      </c>
      <c r="D184" s="11" t="s">
        <v>28</v>
      </c>
      <c r="E184" s="25" t="s">
        <v>692</v>
      </c>
      <c r="F184" s="36" t="str">
        <f>+_xlfn.XLOOKUP(E184,Data_Cleaning!$B$6:$B$50,Data_Cleaning!$C$6:$C$50)</f>
        <v>Barcelona​</v>
      </c>
      <c r="G184" s="36" t="str" cm="1">
        <f t="array" ref="G184">_xlfn.XLOOKUP(TRUE,ISNUMBER(SEARCH(Data_Cleaning!$F$6:$F$36,C184)),Data_Cleaning!$G$6:$G$36,"Other",0)</f>
        <v>Social Sciences and Law</v>
      </c>
      <c r="H184" s="24" t="str">
        <f>+_xlfn.XLOOKUP(G184,Data_Cleaning!$J$6:$J$11,Data_Cleaning!$K$6:$K$11)</f>
        <v>Social Sciences</v>
      </c>
      <c r="I184" s="12">
        <v>6420</v>
      </c>
      <c r="J184" s="12">
        <v>5000</v>
      </c>
      <c r="K184" s="12">
        <v>5000</v>
      </c>
      <c r="L184" s="12">
        <v>5000</v>
      </c>
    </row>
    <row r="185" spans="2:12" ht="15" customHeight="1">
      <c r="B185" s="10">
        <v>91009</v>
      </c>
      <c r="C185" s="22" t="s">
        <v>222</v>
      </c>
      <c r="D185" s="11" t="s">
        <v>28</v>
      </c>
      <c r="E185" s="25" t="s">
        <v>692</v>
      </c>
      <c r="F185" s="36" t="str">
        <f>+_xlfn.XLOOKUP(E185,Data_Cleaning!$B$6:$B$50,Data_Cleaning!$C$6:$C$50)</f>
        <v>Barcelona​</v>
      </c>
      <c r="G185" s="36" t="str" cm="1">
        <f t="array" ref="G185">_xlfn.XLOOKUP(TRUE,ISNUMBER(SEARCH(Data_Cleaning!$F$6:$F$36,C185)),Data_Cleaning!$G$6:$G$36,"Other",0)</f>
        <v>Social Sciences and Law</v>
      </c>
      <c r="H185" s="24" t="str">
        <f>+_xlfn.XLOOKUP(G185,Data_Cleaning!$J$6:$J$11,Data_Cleaning!$K$6:$K$11)</f>
        <v>Social Sciences</v>
      </c>
      <c r="I185" s="12">
        <v>6438</v>
      </c>
      <c r="J185" s="12">
        <v>5000</v>
      </c>
      <c r="K185" s="12">
        <v>5000</v>
      </c>
      <c r="L185" s="12">
        <v>5000</v>
      </c>
    </row>
    <row r="186" spans="2:12" ht="15" customHeight="1">
      <c r="B186" s="10">
        <v>21033</v>
      </c>
      <c r="C186" s="22" t="s">
        <v>402</v>
      </c>
      <c r="D186" s="11" t="s">
        <v>20</v>
      </c>
      <c r="E186" s="25" t="s">
        <v>697</v>
      </c>
      <c r="F186" s="36" t="str">
        <f>+_xlfn.XLOOKUP(E186,Data_Cleaning!$B$6:$B$50,Data_Cleaning!$C$6:$C$50)</f>
        <v>Barcelona​</v>
      </c>
      <c r="G186" s="36" t="str" cm="1">
        <f t="array" ref="G186">_xlfn.XLOOKUP(TRUE,ISNUMBER(SEARCH(Data_Cleaning!$F$6:$F$36,C186)),Data_Cleaning!$G$6:$G$36,"Other",0)</f>
        <v>Health Sciences</v>
      </c>
      <c r="H186" s="24" t="str">
        <f>+_xlfn.XLOOKUP(G186,Data_Cleaning!$J$6:$J$11,Data_Cleaning!$K$6:$K$11)</f>
        <v>Science and Technology</v>
      </c>
      <c r="I186" s="12">
        <v>6558</v>
      </c>
      <c r="J186" s="12">
        <v>5000</v>
      </c>
      <c r="K186" s="12">
        <v>5000</v>
      </c>
      <c r="L186" s="12">
        <v>5000</v>
      </c>
    </row>
    <row r="187" spans="2:12" ht="15" customHeight="1">
      <c r="B187" s="10">
        <v>21022</v>
      </c>
      <c r="C187" s="22" t="s">
        <v>309</v>
      </c>
      <c r="D187" s="11" t="s">
        <v>20</v>
      </c>
      <c r="E187" s="25" t="s">
        <v>684</v>
      </c>
      <c r="F187" s="36" t="str">
        <f>+_xlfn.XLOOKUP(E187,Data_Cleaning!$B$6:$B$50,Data_Cleaning!$C$6:$C$50)</f>
        <v>Barcelona​</v>
      </c>
      <c r="G187" s="36" t="str" cm="1">
        <f t="array" ref="G187">_xlfn.XLOOKUP(TRUE,ISNUMBER(SEARCH(Data_Cleaning!$F$6:$F$36,C187)),Data_Cleaning!$G$6:$G$36,"Other",0)</f>
        <v>Engineering and Architecture</v>
      </c>
      <c r="H187" s="24" t="str">
        <f>+_xlfn.XLOOKUP(G187,Data_Cleaning!$J$6:$J$11,Data_Cleaning!$K$6:$K$11)</f>
        <v>Science and Technology</v>
      </c>
      <c r="I187" s="12">
        <v>6634</v>
      </c>
      <c r="J187" s="12">
        <v>5000</v>
      </c>
      <c r="K187" s="12">
        <v>5000</v>
      </c>
      <c r="L187" s="12">
        <v>5000</v>
      </c>
    </row>
    <row r="188" spans="2:12" ht="15" customHeight="1">
      <c r="B188" s="10">
        <v>61006</v>
      </c>
      <c r="C188" s="22" t="s">
        <v>238</v>
      </c>
      <c r="D188" s="11" t="s">
        <v>25</v>
      </c>
      <c r="E188" s="25" t="s">
        <v>688</v>
      </c>
      <c r="F188" s="36" t="str">
        <f>+_xlfn.XLOOKUP(E188,Data_Cleaning!$B$6:$B$50,Data_Cleaning!$C$6:$C$50)</f>
        <v>Lleida​</v>
      </c>
      <c r="G188" s="36" t="str" cm="1">
        <f t="array" ref="G188">_xlfn.XLOOKUP(TRUE,ISNUMBER(SEARCH(Data_Cleaning!$F$6:$F$36,C188)),Data_Cleaning!$G$6:$G$36,"Other",0)</f>
        <v>Engineering and Architecture</v>
      </c>
      <c r="H188" s="24" t="str">
        <f>+_xlfn.XLOOKUP(G188,Data_Cleaning!$J$6:$J$11,Data_Cleaning!$K$6:$K$11)</f>
        <v>Science and Technology</v>
      </c>
      <c r="I188" s="12">
        <v>6690</v>
      </c>
      <c r="J188" s="12">
        <v>5000</v>
      </c>
      <c r="K188" s="12">
        <v>5000</v>
      </c>
      <c r="L188" s="12">
        <v>5000</v>
      </c>
    </row>
    <row r="189" spans="2:12" ht="15" customHeight="1">
      <c r="B189" s="10">
        <v>21025</v>
      </c>
      <c r="C189" s="23" t="s">
        <v>650</v>
      </c>
      <c r="D189" s="11" t="s">
        <v>20</v>
      </c>
      <c r="E189" s="25" t="s">
        <v>684</v>
      </c>
      <c r="F189" s="36" t="str">
        <f>+_xlfn.XLOOKUP(E189,Data_Cleaning!$B$6:$B$50,Data_Cleaning!$C$6:$C$50)</f>
        <v>Barcelona​</v>
      </c>
      <c r="G189" s="36" t="str" cm="1">
        <f t="array" ref="G189">_xlfn.XLOOKUP(TRUE,ISNUMBER(SEARCH(Data_Cleaning!$F$6:$F$36,C189)),Data_Cleaning!$G$6:$G$36,"Other",0)</f>
        <v>Engineering and Architecture</v>
      </c>
      <c r="H189" s="24" t="str">
        <f>+_xlfn.XLOOKUP(G189,Data_Cleaning!$J$6:$J$11,Data_Cleaning!$K$6:$K$11)</f>
        <v>Science and Technology</v>
      </c>
      <c r="I189" s="12">
        <v>6732</v>
      </c>
      <c r="J189" s="12">
        <v>5000</v>
      </c>
      <c r="K189" s="12">
        <v>5000</v>
      </c>
      <c r="L189" s="12">
        <v>5000</v>
      </c>
    </row>
    <row r="190" spans="2:12" ht="15" customHeight="1">
      <c r="B190" s="10">
        <v>31097</v>
      </c>
      <c r="C190" s="22" t="s">
        <v>253</v>
      </c>
      <c r="D190" s="11" t="s">
        <v>58</v>
      </c>
      <c r="E190" s="25" t="s">
        <v>711</v>
      </c>
      <c r="F190" s="36" t="str">
        <f>+_xlfn.XLOOKUP(E190,Data_Cleaning!$B$6:$B$50,Data_Cleaning!$C$6:$C$50)</f>
        <v>Barcelona​</v>
      </c>
      <c r="G190" s="36" t="str" cm="1">
        <f t="array" ref="G190">_xlfn.XLOOKUP(TRUE,ISNUMBER(SEARCH(Data_Cleaning!$F$6:$F$36,C190)),Data_Cleaning!$G$6:$G$36,"Other",0)</f>
        <v>Engineering and Architecture</v>
      </c>
      <c r="H190" s="24" t="str">
        <f>+_xlfn.XLOOKUP(G190,Data_Cleaning!$J$6:$J$11,Data_Cleaning!$K$6:$K$11)</f>
        <v>Science and Technology</v>
      </c>
      <c r="I190" s="12">
        <v>6756</v>
      </c>
      <c r="J190" s="12">
        <v>5000</v>
      </c>
      <c r="K190" s="12">
        <v>5000</v>
      </c>
      <c r="L190" s="12">
        <v>5000</v>
      </c>
    </row>
    <row r="191" spans="2:12" ht="15" customHeight="1">
      <c r="B191" s="10">
        <v>11091</v>
      </c>
      <c r="C191" s="22" t="s">
        <v>417</v>
      </c>
      <c r="D191" s="11" t="s">
        <v>16</v>
      </c>
      <c r="E191" s="25" t="s">
        <v>684</v>
      </c>
      <c r="F191" s="36" t="str">
        <f>+_xlfn.XLOOKUP(E191,Data_Cleaning!$B$6:$B$50,Data_Cleaning!$C$6:$C$50)</f>
        <v>Barcelona​</v>
      </c>
      <c r="G191" s="36" t="s">
        <v>753</v>
      </c>
      <c r="H191" s="24" t="str">
        <f>+_xlfn.XLOOKUP(G191,Data_Cleaning!$J$6:$J$11,Data_Cleaning!$K$6:$K$11)</f>
        <v>Science and Technology</v>
      </c>
      <c r="I191" s="12">
        <v>6764</v>
      </c>
      <c r="J191" s="12">
        <v>5000</v>
      </c>
      <c r="K191" s="12">
        <v>8000</v>
      </c>
      <c r="L191" s="12">
        <v>5000</v>
      </c>
    </row>
    <row r="192" spans="2:12" ht="15" customHeight="1">
      <c r="B192" s="10">
        <v>81085</v>
      </c>
      <c r="C192" s="23" t="s">
        <v>663</v>
      </c>
      <c r="D192" s="11" t="s">
        <v>23</v>
      </c>
      <c r="E192" s="25" t="s">
        <v>686</v>
      </c>
      <c r="F192" s="36" t="str">
        <f>+_xlfn.XLOOKUP(E192,Data_Cleaning!$B$6:$B$50,Data_Cleaning!$C$6:$C$50)</f>
        <v>Girona​</v>
      </c>
      <c r="G192" s="36" t="str" cm="1">
        <f t="array" ref="G192">_xlfn.XLOOKUP(TRUE,ISNUMBER(SEARCH(Data_Cleaning!$F$6:$F$36,C192)),Data_Cleaning!$G$6:$G$36,"Other",0)</f>
        <v>Double Degree</v>
      </c>
      <c r="H192" s="24" t="s">
        <v>775</v>
      </c>
      <c r="I192" s="12">
        <v>6808</v>
      </c>
      <c r="J192" s="12">
        <v>5000</v>
      </c>
      <c r="K192" s="12">
        <v>5000</v>
      </c>
      <c r="L192" s="12">
        <v>5000</v>
      </c>
    </row>
    <row r="193" spans="2:12" ht="15" customHeight="1">
      <c r="B193" s="10">
        <v>61072</v>
      </c>
      <c r="C193" s="22" t="s">
        <v>218</v>
      </c>
      <c r="D193" s="11" t="s">
        <v>25</v>
      </c>
      <c r="E193" s="25" t="s">
        <v>688</v>
      </c>
      <c r="F193" s="36" t="str">
        <f>+_xlfn.XLOOKUP(E193,Data_Cleaning!$B$6:$B$50,Data_Cleaning!$C$6:$C$50)</f>
        <v>Lleida​</v>
      </c>
      <c r="G193" s="36" t="str" cm="1">
        <f t="array" ref="G193">_xlfn.XLOOKUP(TRUE,ISNUMBER(SEARCH(Data_Cleaning!$F$6:$F$36,C193)),Data_Cleaning!$G$6:$G$36,"Other",0)</f>
        <v>Social Sciences and Law</v>
      </c>
      <c r="H193" s="24" t="str">
        <f>+_xlfn.XLOOKUP(G193,Data_Cleaning!$J$6:$J$11,Data_Cleaning!$K$6:$K$11)</f>
        <v>Social Sciences</v>
      </c>
      <c r="I193" s="12">
        <v>6844</v>
      </c>
      <c r="J193" s="12">
        <v>5000</v>
      </c>
      <c r="K193" s="12">
        <v>5000</v>
      </c>
      <c r="L193" s="12">
        <v>5000</v>
      </c>
    </row>
    <row r="194" spans="2:12" ht="15" customHeight="1">
      <c r="B194" s="10">
        <v>91051</v>
      </c>
      <c r="C194" s="22" t="s">
        <v>258</v>
      </c>
      <c r="D194" s="11" t="s">
        <v>28</v>
      </c>
      <c r="E194" s="25" t="s">
        <v>716</v>
      </c>
      <c r="F194" s="36" t="str">
        <f>+_xlfn.XLOOKUP(E194,Data_Cleaning!$B$6:$B$50,Data_Cleaning!$C$6:$C$50)</f>
        <v>Barcelona​</v>
      </c>
      <c r="G194" s="36" t="str" cm="1">
        <f t="array" ref="G194">_xlfn.XLOOKUP(TRUE,ISNUMBER(SEARCH(Data_Cleaning!$F$6:$F$36,C194)),Data_Cleaning!$G$6:$G$36,"Other",0)</f>
        <v>Engineering and Architecture</v>
      </c>
      <c r="H194" s="24" t="str">
        <f>+_xlfn.XLOOKUP(G194,Data_Cleaning!$J$6:$J$11,Data_Cleaning!$K$6:$K$11)</f>
        <v>Science and Technology</v>
      </c>
      <c r="I194" s="12">
        <v>6866</v>
      </c>
      <c r="J194" s="12">
        <v>5000</v>
      </c>
      <c r="K194" s="12">
        <v>5000</v>
      </c>
      <c r="L194" s="12">
        <v>5000</v>
      </c>
    </row>
    <row r="195" spans="2:12" ht="15" customHeight="1">
      <c r="B195" s="10">
        <v>61061</v>
      </c>
      <c r="C195" s="23" t="s">
        <v>639</v>
      </c>
      <c r="D195" s="11" t="s">
        <v>25</v>
      </c>
      <c r="E195" s="25" t="s">
        <v>688</v>
      </c>
      <c r="F195" s="36" t="str">
        <f>+_xlfn.XLOOKUP(E195,Data_Cleaning!$B$6:$B$50,Data_Cleaning!$C$6:$C$50)</f>
        <v>Lleida​</v>
      </c>
      <c r="G195" s="36" t="str" cm="1">
        <f t="array" ref="G195">_xlfn.XLOOKUP(TRUE,ISNUMBER(SEARCH(Data_Cleaning!$F$6:$F$36,C195)),Data_Cleaning!$G$6:$G$36,"Other",0)</f>
        <v>Engineering and Architecture</v>
      </c>
      <c r="H195" s="24" t="str">
        <f>+_xlfn.XLOOKUP(G195,Data_Cleaning!$J$6:$J$11,Data_Cleaning!$K$6:$K$11)</f>
        <v>Science and Technology</v>
      </c>
      <c r="I195" s="12">
        <v>6892</v>
      </c>
      <c r="J195" s="12">
        <v>5000</v>
      </c>
      <c r="K195" s="12">
        <v>5000</v>
      </c>
      <c r="L195" s="12">
        <v>5000</v>
      </c>
    </row>
    <row r="196" spans="2:12" ht="15" customHeight="1">
      <c r="B196" s="10">
        <v>71048</v>
      </c>
      <c r="C196" s="22" t="s">
        <v>403</v>
      </c>
      <c r="D196" s="11" t="s">
        <v>18</v>
      </c>
      <c r="E196" s="25" t="s">
        <v>691</v>
      </c>
      <c r="F196" s="36" t="str">
        <f>+_xlfn.XLOOKUP(E196,Data_Cleaning!$B$6:$B$50,Data_Cleaning!$C$6:$C$50)</f>
        <v>Tarragona​</v>
      </c>
      <c r="G196" s="36" t="str" cm="1">
        <f t="array" ref="G196">_xlfn.XLOOKUP(TRUE,ISNUMBER(SEARCH(Data_Cleaning!$F$6:$F$36,C196)),Data_Cleaning!$G$6:$G$36,"Other",0)</f>
        <v>Health Sciences</v>
      </c>
      <c r="H196" s="24" t="str">
        <f>+_xlfn.XLOOKUP(G196,Data_Cleaning!$J$6:$J$11,Data_Cleaning!$K$6:$K$11)</f>
        <v>Science and Technology</v>
      </c>
      <c r="I196" s="12">
        <v>6893</v>
      </c>
      <c r="J196" s="12">
        <v>5000</v>
      </c>
      <c r="K196" s="12">
        <v>5000</v>
      </c>
      <c r="L196" s="12">
        <v>5000</v>
      </c>
    </row>
    <row r="197" spans="2:12" ht="15" customHeight="1">
      <c r="B197" s="10">
        <v>71014</v>
      </c>
      <c r="C197" s="22" t="s">
        <v>387</v>
      </c>
      <c r="D197" s="11" t="s">
        <v>18</v>
      </c>
      <c r="E197" s="25" t="s">
        <v>690</v>
      </c>
      <c r="F197" s="36" t="str">
        <f>+_xlfn.XLOOKUP(E197,Data_Cleaning!$B$6:$B$50,Data_Cleaning!$C$6:$C$50)</f>
        <v>Tarragona​</v>
      </c>
      <c r="G197" s="36" t="s">
        <v>762</v>
      </c>
      <c r="H197" s="24" t="str">
        <f>+_xlfn.XLOOKUP(G197,Data_Cleaning!$J$6:$J$11,Data_Cleaning!$K$6:$K$11)</f>
        <v>Social Sciences</v>
      </c>
      <c r="I197" s="12">
        <v>6914</v>
      </c>
      <c r="J197" s="12">
        <v>5000</v>
      </c>
      <c r="K197" s="12">
        <v>5000</v>
      </c>
      <c r="L197" s="12">
        <v>5000</v>
      </c>
    </row>
    <row r="198" spans="2:12" ht="15" customHeight="1">
      <c r="B198" s="10">
        <v>81086</v>
      </c>
      <c r="C198" s="23" t="s">
        <v>612</v>
      </c>
      <c r="D198" s="11" t="s">
        <v>23</v>
      </c>
      <c r="E198" s="25" t="s">
        <v>698</v>
      </c>
      <c r="F198" s="36" t="str">
        <f>+_xlfn.XLOOKUP(E198,Data_Cleaning!$B$6:$B$50,Data_Cleaning!$C$6:$C$50)</f>
        <v>Girona​</v>
      </c>
      <c r="G198" s="36" t="str" cm="1">
        <f t="array" ref="G198">_xlfn.XLOOKUP(TRUE,ISNUMBER(SEARCH(Data_Cleaning!$F$6:$F$36,C198)),Data_Cleaning!$G$6:$G$36,"Other",0)</f>
        <v>Double Degree</v>
      </c>
      <c r="H198" s="24" t="s">
        <v>794</v>
      </c>
      <c r="I198" s="12">
        <v>6918</v>
      </c>
      <c r="J198" s="12">
        <v>5000</v>
      </c>
      <c r="K198" s="12">
        <v>5000</v>
      </c>
      <c r="L198" s="12">
        <v>5000</v>
      </c>
    </row>
    <row r="199" spans="2:12" ht="15" customHeight="1">
      <c r="B199" s="10">
        <v>31087</v>
      </c>
      <c r="C199" s="22" t="s">
        <v>307</v>
      </c>
      <c r="D199" s="11" t="s">
        <v>58</v>
      </c>
      <c r="E199" s="25" t="s">
        <v>684</v>
      </c>
      <c r="F199" s="36" t="str">
        <f>+_xlfn.XLOOKUP(E199,Data_Cleaning!$B$6:$B$50,Data_Cleaning!$C$6:$C$50)</f>
        <v>Barcelona​</v>
      </c>
      <c r="G199" s="36" t="str" cm="1">
        <f t="array" ref="G199">_xlfn.XLOOKUP(TRUE,ISNUMBER(SEARCH(Data_Cleaning!$F$6:$F$36,C199)),Data_Cleaning!$G$6:$G$36,"Other",0)</f>
        <v>Engineering and Architecture</v>
      </c>
      <c r="H199" s="24" t="str">
        <f>+_xlfn.XLOOKUP(G199,Data_Cleaning!$J$6:$J$11,Data_Cleaning!$K$6:$K$11)</f>
        <v>Science and Technology</v>
      </c>
      <c r="I199" s="12">
        <v>6979</v>
      </c>
      <c r="J199" s="12">
        <v>5000</v>
      </c>
      <c r="K199" s="12">
        <v>5900</v>
      </c>
      <c r="L199" s="12">
        <v>5000</v>
      </c>
    </row>
    <row r="200" spans="2:12" ht="15" customHeight="1">
      <c r="B200" s="10">
        <v>41057</v>
      </c>
      <c r="C200" s="23" t="s">
        <v>645</v>
      </c>
      <c r="D200" s="11" t="s">
        <v>11</v>
      </c>
      <c r="E200" s="25" t="s">
        <v>683</v>
      </c>
      <c r="F200" s="36" t="str">
        <f>+_xlfn.XLOOKUP(E200,Data_Cleaning!$B$6:$B$50,Data_Cleaning!$C$6:$C$50)</f>
        <v>Barcelona​</v>
      </c>
      <c r="G200" s="36" t="str" cm="1">
        <f t="array" ref="G200">_xlfn.XLOOKUP(TRUE,ISNUMBER(SEARCH(Data_Cleaning!$F$6:$F$36,C200)),Data_Cleaning!$G$6:$G$36,"Other",0)</f>
        <v>Engineering and Architecture</v>
      </c>
      <c r="H200" s="24" t="str">
        <f>+_xlfn.XLOOKUP(G200,Data_Cleaning!$J$6:$J$11,Data_Cleaning!$K$6:$K$11)</f>
        <v>Science and Technology</v>
      </c>
      <c r="I200" s="12">
        <v>6980</v>
      </c>
      <c r="J200" s="12">
        <v>5000</v>
      </c>
      <c r="K200" s="12">
        <v>5000</v>
      </c>
      <c r="L200" s="12">
        <v>5000</v>
      </c>
    </row>
    <row r="201" spans="2:12" ht="15" customHeight="1">
      <c r="B201" s="10">
        <v>21030</v>
      </c>
      <c r="C201" s="22" t="s">
        <v>355</v>
      </c>
      <c r="D201" s="11" t="s">
        <v>20</v>
      </c>
      <c r="E201" s="25" t="s">
        <v>685</v>
      </c>
      <c r="F201" s="36" t="str">
        <f>+_xlfn.XLOOKUP(E201,Data_Cleaning!$B$6:$B$50,Data_Cleaning!$C$6:$C$50)</f>
        <v>Barcelona​</v>
      </c>
      <c r="G201" s="36" t="s">
        <v>775</v>
      </c>
      <c r="H201" s="24" t="str">
        <f>+_xlfn.XLOOKUP(G201,Data_Cleaning!$J$6:$J$11,Data_Cleaning!$K$6:$K$11)</f>
        <v>Arts and Humanities</v>
      </c>
      <c r="I201" s="12">
        <v>6980</v>
      </c>
      <c r="J201" s="12">
        <v>7438</v>
      </c>
      <c r="K201" s="12">
        <v>8500</v>
      </c>
      <c r="L201" s="12">
        <v>5000</v>
      </c>
    </row>
    <row r="202" spans="2:12" ht="15" customHeight="1">
      <c r="B202" s="10">
        <v>21132</v>
      </c>
      <c r="C202" s="22" t="s">
        <v>250</v>
      </c>
      <c r="D202" s="11" t="s">
        <v>20</v>
      </c>
      <c r="E202" s="25" t="s">
        <v>684</v>
      </c>
      <c r="F202" s="36" t="str">
        <f>+_xlfn.XLOOKUP(E202,Data_Cleaning!$B$6:$B$50,Data_Cleaning!$C$6:$C$50)</f>
        <v>Barcelona​</v>
      </c>
      <c r="G202" s="36" t="str" cm="1">
        <f t="array" ref="G202">_xlfn.XLOOKUP(TRUE,ISNUMBER(SEARCH(Data_Cleaning!$F$6:$F$36,C202)),Data_Cleaning!$G$6:$G$36,"Other",0)</f>
        <v>Engineering and Architecture</v>
      </c>
      <c r="H202" s="24" t="str">
        <f>+_xlfn.XLOOKUP(G202,Data_Cleaning!$J$6:$J$11,Data_Cleaning!$K$6:$K$11)</f>
        <v>Science and Technology</v>
      </c>
      <c r="I202" s="12">
        <v>7002</v>
      </c>
      <c r="J202" s="12">
        <v>5000</v>
      </c>
      <c r="K202" s="12">
        <v>5000</v>
      </c>
      <c r="L202" s="12">
        <v>5000</v>
      </c>
    </row>
    <row r="203" spans="2:12" ht="15" customHeight="1">
      <c r="B203" s="10">
        <v>11100</v>
      </c>
      <c r="C203" s="22" t="s">
        <v>148</v>
      </c>
      <c r="D203" s="11" t="s">
        <v>16</v>
      </c>
      <c r="E203" s="25" t="s">
        <v>684</v>
      </c>
      <c r="F203" s="36" t="str">
        <f>+_xlfn.XLOOKUP(E203,Data_Cleaning!$B$6:$B$50,Data_Cleaning!$C$6:$C$50)</f>
        <v>Barcelona​</v>
      </c>
      <c r="G203" s="36" t="s">
        <v>762</v>
      </c>
      <c r="H203" s="24" t="str">
        <f>+_xlfn.XLOOKUP(G203,Data_Cleaning!$J$6:$J$11,Data_Cleaning!$K$6:$K$11)</f>
        <v>Social Sciences</v>
      </c>
      <c r="I203" s="12">
        <v>7020</v>
      </c>
      <c r="J203" s="12">
        <v>5000</v>
      </c>
      <c r="K203" s="12">
        <v>8900</v>
      </c>
      <c r="L203" s="12">
        <v>5000</v>
      </c>
    </row>
    <row r="204" spans="2:12" ht="15" customHeight="1">
      <c r="B204" s="10">
        <v>71038</v>
      </c>
      <c r="C204" s="23" t="s">
        <v>651</v>
      </c>
      <c r="D204" s="11" t="s">
        <v>18</v>
      </c>
      <c r="E204" s="25" t="s">
        <v>696</v>
      </c>
      <c r="F204" s="36" t="str">
        <f>+_xlfn.XLOOKUP(E204,Data_Cleaning!$B$6:$B$50,Data_Cleaning!$C$6:$C$50)</f>
        <v>Tarragona​</v>
      </c>
      <c r="G204" s="36" t="str" cm="1">
        <f t="array" ref="G204">_xlfn.XLOOKUP(TRUE,ISNUMBER(SEARCH(Data_Cleaning!$F$6:$F$36,C204)),Data_Cleaning!$G$6:$G$36,"Other",0)</f>
        <v>Engineering and Architecture</v>
      </c>
      <c r="H204" s="24" t="str">
        <f>+_xlfn.XLOOKUP(G204,Data_Cleaning!$J$6:$J$11,Data_Cleaning!$K$6:$K$11)</f>
        <v>Science and Technology</v>
      </c>
      <c r="I204" s="12">
        <v>7050</v>
      </c>
      <c r="J204" s="12">
        <v>5000</v>
      </c>
      <c r="K204" s="12">
        <v>5000</v>
      </c>
      <c r="L204" s="12">
        <v>5000</v>
      </c>
    </row>
    <row r="205" spans="2:12" ht="15" customHeight="1">
      <c r="B205" s="10">
        <v>31077</v>
      </c>
      <c r="C205" s="23" t="s">
        <v>644</v>
      </c>
      <c r="D205" s="11" t="s">
        <v>58</v>
      </c>
      <c r="E205" s="25" t="s">
        <v>711</v>
      </c>
      <c r="F205" s="36" t="str">
        <f>+_xlfn.XLOOKUP(E205,Data_Cleaning!$B$6:$B$50,Data_Cleaning!$C$6:$C$50)</f>
        <v>Barcelona​</v>
      </c>
      <c r="G205" s="36" t="str" cm="1">
        <f t="array" ref="G205">_xlfn.XLOOKUP(TRUE,ISNUMBER(SEARCH(Data_Cleaning!$F$6:$F$36,C205)),Data_Cleaning!$G$6:$G$36,"Other",0)</f>
        <v>Engineering and Architecture</v>
      </c>
      <c r="H205" s="24" t="str">
        <f>+_xlfn.XLOOKUP(G205,Data_Cleaning!$J$6:$J$11,Data_Cleaning!$K$6:$K$11)</f>
        <v>Science and Technology</v>
      </c>
      <c r="I205" s="12">
        <v>7060</v>
      </c>
      <c r="J205" s="12">
        <v>5000</v>
      </c>
      <c r="K205" s="12">
        <v>5000</v>
      </c>
      <c r="L205" s="12">
        <v>5000</v>
      </c>
    </row>
    <row r="206" spans="2:12" ht="15" customHeight="1">
      <c r="B206" s="10">
        <v>71037</v>
      </c>
      <c r="C206" s="22" t="s">
        <v>295</v>
      </c>
      <c r="D206" s="11" t="s">
        <v>18</v>
      </c>
      <c r="E206" s="25" t="s">
        <v>696</v>
      </c>
      <c r="F206" s="36" t="str">
        <f>+_xlfn.XLOOKUP(E206,Data_Cleaning!$B$6:$B$50,Data_Cleaning!$C$6:$C$50)</f>
        <v>Tarragona​</v>
      </c>
      <c r="G206" s="36" t="str" cm="1">
        <f t="array" ref="G206">_xlfn.XLOOKUP(TRUE,ISNUMBER(SEARCH(Data_Cleaning!$F$6:$F$36,C206)),Data_Cleaning!$G$6:$G$36,"Other",0)</f>
        <v>Engineering and Architecture</v>
      </c>
      <c r="H206" s="24" t="str">
        <f>+_xlfn.XLOOKUP(G206,Data_Cleaning!$J$6:$J$11,Data_Cleaning!$K$6:$K$11)</f>
        <v>Science and Technology</v>
      </c>
      <c r="I206" s="12">
        <v>7102</v>
      </c>
      <c r="J206" s="12">
        <v>5000</v>
      </c>
      <c r="K206" s="12">
        <v>5000</v>
      </c>
      <c r="L206" s="12">
        <v>5000</v>
      </c>
    </row>
    <row r="207" spans="2:12" ht="15" customHeight="1">
      <c r="B207" s="10">
        <v>81044</v>
      </c>
      <c r="C207" s="22" t="s">
        <v>573</v>
      </c>
      <c r="D207" s="11" t="s">
        <v>23</v>
      </c>
      <c r="E207" s="25" t="s">
        <v>686</v>
      </c>
      <c r="F207" s="36" t="str">
        <f>+_xlfn.XLOOKUP(E207,Data_Cleaning!$B$6:$B$50,Data_Cleaning!$C$6:$C$50)</f>
        <v>Girona​</v>
      </c>
      <c r="G207" s="36" t="str" cm="1">
        <f t="array" ref="G207">_xlfn.XLOOKUP(TRUE,ISNUMBER(SEARCH(Data_Cleaning!$F$6:$F$36,C207)),Data_Cleaning!$G$6:$G$36,"Other",0)</f>
        <v>Social Sciences and Law</v>
      </c>
      <c r="H207" s="24" t="str">
        <f>+_xlfn.XLOOKUP(G207,Data_Cleaning!$J$6:$J$11,Data_Cleaning!$K$6:$K$11)</f>
        <v>Social Sciences</v>
      </c>
      <c r="I207" s="12">
        <v>7106</v>
      </c>
      <c r="J207" s="12">
        <v>5000</v>
      </c>
      <c r="K207" s="12">
        <v>5000</v>
      </c>
      <c r="L207" s="12">
        <v>5000</v>
      </c>
    </row>
    <row r="208" spans="2:12" ht="15" customHeight="1">
      <c r="B208" s="10">
        <v>21026</v>
      </c>
      <c r="C208" s="22" t="s">
        <v>332</v>
      </c>
      <c r="D208" s="11" t="s">
        <v>20</v>
      </c>
      <c r="E208" s="25" t="s">
        <v>684</v>
      </c>
      <c r="F208" s="36" t="str">
        <f>+_xlfn.XLOOKUP(E208,Data_Cleaning!$B$6:$B$50,Data_Cleaning!$C$6:$C$50)</f>
        <v>Barcelona​</v>
      </c>
      <c r="G208" s="36" t="str" cm="1">
        <f t="array" ref="G208">_xlfn.XLOOKUP(TRUE,ISNUMBER(SEARCH(Data_Cleaning!$F$6:$F$36,C208)),Data_Cleaning!$G$6:$G$36,"Other",0)</f>
        <v>Engineering and Architecture</v>
      </c>
      <c r="H208" s="24" t="str">
        <f>+_xlfn.XLOOKUP(G208,Data_Cleaning!$J$6:$J$11,Data_Cleaning!$K$6:$K$11)</f>
        <v>Science and Technology</v>
      </c>
      <c r="I208" s="12">
        <v>7109</v>
      </c>
      <c r="J208" s="12">
        <v>5000</v>
      </c>
      <c r="K208" s="12">
        <v>5000</v>
      </c>
      <c r="L208" s="12">
        <v>5000</v>
      </c>
    </row>
    <row r="209" spans="2:12" ht="15" customHeight="1">
      <c r="B209" s="10">
        <v>91919</v>
      </c>
      <c r="C209" s="23" t="s">
        <v>669</v>
      </c>
      <c r="D209" s="11" t="s">
        <v>399</v>
      </c>
      <c r="E209" s="25" t="s">
        <v>709</v>
      </c>
      <c r="F209" s="36" t="str">
        <f>+_xlfn.XLOOKUP(E209,Data_Cleaning!$B$6:$B$50,Data_Cleaning!$C$6:$C$50)</f>
        <v>Barcelona​</v>
      </c>
      <c r="G209" s="36" t="str" cm="1">
        <f t="array" ref="G209">_xlfn.XLOOKUP(TRUE,ISNUMBER(SEARCH(Data_Cleaning!$F$6:$F$36,C209)),Data_Cleaning!$G$6:$G$36,"Other",0)</f>
        <v>Health Sciences</v>
      </c>
      <c r="H209" s="24" t="str">
        <f>+_xlfn.XLOOKUP(G209,Data_Cleaning!$J$6:$J$11,Data_Cleaning!$K$6:$K$11)</f>
        <v>Science and Technology</v>
      </c>
      <c r="I209" s="12">
        <v>7124</v>
      </c>
      <c r="J209" s="12">
        <v>5000</v>
      </c>
      <c r="K209" s="12">
        <v>5000</v>
      </c>
      <c r="L209" s="12">
        <v>5000</v>
      </c>
    </row>
    <row r="210" spans="2:12" ht="15" customHeight="1">
      <c r="B210" s="10">
        <v>21064</v>
      </c>
      <c r="C210" s="22" t="s">
        <v>570</v>
      </c>
      <c r="D210" s="11" t="s">
        <v>20</v>
      </c>
      <c r="E210" s="25" t="s">
        <v>685</v>
      </c>
      <c r="F210" s="36" t="str">
        <f>+_xlfn.XLOOKUP(E210,Data_Cleaning!$B$6:$B$50,Data_Cleaning!$C$6:$C$50)</f>
        <v>Barcelona​</v>
      </c>
      <c r="G210" s="36" t="s">
        <v>762</v>
      </c>
      <c r="H210" s="24" t="str">
        <f>+_xlfn.XLOOKUP(G210,Data_Cleaning!$J$6:$J$11,Data_Cleaning!$K$6:$K$11)</f>
        <v>Social Sciences</v>
      </c>
      <c r="I210" s="12">
        <v>7128</v>
      </c>
      <c r="J210" s="12">
        <v>5000</v>
      </c>
      <c r="K210" s="12">
        <v>5000</v>
      </c>
      <c r="L210" s="12">
        <v>5000</v>
      </c>
    </row>
    <row r="211" spans="2:12" ht="15" customHeight="1">
      <c r="B211" s="10">
        <v>81032</v>
      </c>
      <c r="C211" s="22" t="s">
        <v>239</v>
      </c>
      <c r="D211" s="11" t="s">
        <v>23</v>
      </c>
      <c r="E211" s="25" t="s">
        <v>686</v>
      </c>
      <c r="F211" s="36" t="str">
        <f>+_xlfn.XLOOKUP(E211,Data_Cleaning!$B$6:$B$50,Data_Cleaning!$C$6:$C$50)</f>
        <v>Girona​</v>
      </c>
      <c r="G211" s="36" t="str" cm="1">
        <f t="array" ref="G211">_xlfn.XLOOKUP(TRUE,ISNUMBER(SEARCH(Data_Cleaning!$F$6:$F$36,C211)),Data_Cleaning!$G$6:$G$36,"Other",0)</f>
        <v>Engineering and Architecture</v>
      </c>
      <c r="H211" s="24" t="str">
        <f>+_xlfn.XLOOKUP(G211,Data_Cleaning!$J$6:$J$11,Data_Cleaning!$K$6:$K$11)</f>
        <v>Science and Technology</v>
      </c>
      <c r="I211" s="12">
        <v>7134</v>
      </c>
      <c r="J211" s="12">
        <v>5000</v>
      </c>
      <c r="K211" s="12">
        <v>5000</v>
      </c>
      <c r="L211" s="12">
        <v>5000</v>
      </c>
    </row>
    <row r="212" spans="2:12" ht="15" customHeight="1">
      <c r="B212" s="10">
        <v>91001</v>
      </c>
      <c r="C212" s="22" t="s">
        <v>118</v>
      </c>
      <c r="D212" s="11" t="s">
        <v>28</v>
      </c>
      <c r="E212" s="25" t="s">
        <v>692</v>
      </c>
      <c r="F212" s="36" t="str">
        <f>+_xlfn.XLOOKUP(E212,Data_Cleaning!$B$6:$B$50,Data_Cleaning!$C$6:$C$50)</f>
        <v>Barcelona​</v>
      </c>
      <c r="G212" s="36" t="str" cm="1">
        <f t="array" ref="G212">_xlfn.XLOOKUP(TRUE,ISNUMBER(SEARCH(Data_Cleaning!$F$6:$F$36,C212)),Data_Cleaning!$G$6:$G$36,"Other",0)</f>
        <v>Sciences</v>
      </c>
      <c r="H212" s="24" t="str">
        <f>+_xlfn.XLOOKUP(G212,Data_Cleaning!$J$6:$J$11,Data_Cleaning!$K$6:$K$11)</f>
        <v>Science and Technology</v>
      </c>
      <c r="I212" s="12">
        <v>7163</v>
      </c>
      <c r="J212" s="12">
        <v>5000</v>
      </c>
      <c r="K212" s="12">
        <v>5000</v>
      </c>
      <c r="L212" s="12">
        <v>5000</v>
      </c>
    </row>
    <row r="213" spans="2:12" ht="15" customHeight="1">
      <c r="B213" s="10">
        <v>61060</v>
      </c>
      <c r="C213" s="23" t="s">
        <v>654</v>
      </c>
      <c r="D213" s="11" t="s">
        <v>25</v>
      </c>
      <c r="E213" s="25" t="s">
        <v>687</v>
      </c>
      <c r="F213" s="36" t="str">
        <f>+_xlfn.XLOOKUP(E213,Data_Cleaning!$B$6:$B$50,Data_Cleaning!$C$6:$C$50)</f>
        <v>Barcelona​</v>
      </c>
      <c r="G213" s="36" t="str" cm="1">
        <f t="array" ref="G213">_xlfn.XLOOKUP(TRUE,ISNUMBER(SEARCH(Data_Cleaning!$F$6:$F$36,C213)),Data_Cleaning!$G$6:$G$36,"Other",0)</f>
        <v>Engineering and Architecture</v>
      </c>
      <c r="H213" s="24" t="str">
        <f>+_xlfn.XLOOKUP(G213,Data_Cleaning!$J$6:$J$11,Data_Cleaning!$K$6:$K$11)</f>
        <v>Science and Technology</v>
      </c>
      <c r="I213" s="12">
        <v>7170</v>
      </c>
      <c r="J213" s="12">
        <v>5000</v>
      </c>
      <c r="K213" s="12">
        <v>5000</v>
      </c>
      <c r="L213" s="12">
        <v>5000</v>
      </c>
    </row>
    <row r="214" spans="2:12" ht="15" customHeight="1">
      <c r="B214" s="10">
        <v>81050</v>
      </c>
      <c r="C214" s="23" t="s">
        <v>646</v>
      </c>
      <c r="D214" s="11" t="s">
        <v>23</v>
      </c>
      <c r="E214" s="25" t="s">
        <v>686</v>
      </c>
      <c r="F214" s="36" t="str">
        <f>+_xlfn.XLOOKUP(E214,Data_Cleaning!$B$6:$B$50,Data_Cleaning!$C$6:$C$50)</f>
        <v>Girona​</v>
      </c>
      <c r="G214" s="36" t="str" cm="1">
        <f t="array" ref="G214">_xlfn.XLOOKUP(TRUE,ISNUMBER(SEARCH(Data_Cleaning!$F$6:$F$36,C214)),Data_Cleaning!$G$6:$G$36,"Other",0)</f>
        <v>Double Degree</v>
      </c>
      <c r="H214" s="24" t="s">
        <v>794</v>
      </c>
      <c r="I214" s="12">
        <v>7190</v>
      </c>
      <c r="J214" s="12">
        <v>5000</v>
      </c>
      <c r="K214" s="12">
        <v>5000</v>
      </c>
      <c r="L214" s="12">
        <v>5000</v>
      </c>
    </row>
    <row r="215" spans="2:12" ht="15" customHeight="1">
      <c r="B215" s="10">
        <v>91012</v>
      </c>
      <c r="C215" s="22" t="s">
        <v>404</v>
      </c>
      <c r="D215" s="11" t="s">
        <v>28</v>
      </c>
      <c r="E215" s="25" t="s">
        <v>692</v>
      </c>
      <c r="F215" s="36" t="str">
        <f>+_xlfn.XLOOKUP(E215,Data_Cleaning!$B$6:$B$50,Data_Cleaning!$C$6:$C$50)</f>
        <v>Barcelona​</v>
      </c>
      <c r="G215" s="36" t="str" cm="1">
        <f t="array" ref="G215">_xlfn.XLOOKUP(TRUE,ISNUMBER(SEARCH(Data_Cleaning!$F$6:$F$36,C215)),Data_Cleaning!$G$6:$G$36,"Other",0)</f>
        <v>Health Sciences</v>
      </c>
      <c r="H215" s="24" t="str">
        <f>+_xlfn.XLOOKUP(G215,Data_Cleaning!$J$6:$J$11,Data_Cleaning!$K$6:$K$11)</f>
        <v>Science and Technology</v>
      </c>
      <c r="I215" s="12">
        <v>7205</v>
      </c>
      <c r="J215" s="12">
        <v>5000</v>
      </c>
      <c r="K215" s="12">
        <v>5000</v>
      </c>
      <c r="L215" s="12">
        <v>5000</v>
      </c>
    </row>
    <row r="216" spans="2:12" ht="15" customHeight="1">
      <c r="B216" s="10">
        <v>61013</v>
      </c>
      <c r="C216" s="22" t="s">
        <v>226</v>
      </c>
      <c r="D216" s="11" t="s">
        <v>25</v>
      </c>
      <c r="E216" s="25" t="s">
        <v>688</v>
      </c>
      <c r="F216" s="36" t="str">
        <f>+_xlfn.XLOOKUP(E216,Data_Cleaning!$B$6:$B$50,Data_Cleaning!$C$6:$C$50)</f>
        <v>Lleida​</v>
      </c>
      <c r="G216" s="36" t="str" cm="1">
        <f t="array" ref="G216">_xlfn.XLOOKUP(TRUE,ISNUMBER(SEARCH(Data_Cleaning!$F$6:$F$36,C216)),Data_Cleaning!$G$6:$G$36,"Other",0)</f>
        <v>Social Sciences and Law</v>
      </c>
      <c r="H216" s="24" t="str">
        <f>+_xlfn.XLOOKUP(G216,Data_Cleaning!$J$6:$J$11,Data_Cleaning!$K$6:$K$11)</f>
        <v>Social Sciences</v>
      </c>
      <c r="I216" s="12">
        <v>7213</v>
      </c>
      <c r="J216" s="12">
        <v>5000</v>
      </c>
      <c r="K216" s="12">
        <v>5000</v>
      </c>
      <c r="L216" s="12">
        <v>7500</v>
      </c>
    </row>
    <row r="217" spans="2:12" ht="15" customHeight="1">
      <c r="B217" s="10">
        <v>31010</v>
      </c>
      <c r="C217" s="22" t="s">
        <v>275</v>
      </c>
      <c r="D217" s="11" t="s">
        <v>58</v>
      </c>
      <c r="E217" s="25" t="s">
        <v>706</v>
      </c>
      <c r="F217" s="36" t="str">
        <f>+_xlfn.XLOOKUP(E217,Data_Cleaning!$B$6:$B$50,Data_Cleaning!$C$6:$C$50)</f>
        <v>Barcelona​</v>
      </c>
      <c r="G217" s="36" t="str" cm="1">
        <f t="array" ref="G217">_xlfn.XLOOKUP(TRUE,ISNUMBER(SEARCH(Data_Cleaning!$F$6:$F$36,C217)),Data_Cleaning!$G$6:$G$36,"Other",0)</f>
        <v>Engineering and Architecture</v>
      </c>
      <c r="H217" s="24" t="str">
        <f>+_xlfn.XLOOKUP(G217,Data_Cleaning!$J$6:$J$11,Data_Cleaning!$K$6:$K$11)</f>
        <v>Science and Technology</v>
      </c>
      <c r="I217" s="12">
        <v>7214</v>
      </c>
      <c r="J217" s="12">
        <v>5000</v>
      </c>
      <c r="K217" s="12">
        <v>5000</v>
      </c>
      <c r="L217" s="12">
        <v>5000</v>
      </c>
    </row>
    <row r="218" spans="2:12" ht="15" customHeight="1">
      <c r="B218" s="10">
        <v>71004</v>
      </c>
      <c r="C218" s="22" t="s">
        <v>30</v>
      </c>
      <c r="D218" s="11" t="s">
        <v>18</v>
      </c>
      <c r="E218" s="25" t="s">
        <v>691</v>
      </c>
      <c r="F218" s="36" t="str">
        <f>+_xlfn.XLOOKUP(E218,Data_Cleaning!$B$6:$B$50,Data_Cleaning!$C$6:$C$50)</f>
        <v>Tarragona​</v>
      </c>
      <c r="G218" s="36" t="str" cm="1">
        <f t="array" ref="G218">_xlfn.XLOOKUP(TRUE,ISNUMBER(SEARCH(Data_Cleaning!$F$6:$F$36,C218)),Data_Cleaning!$G$6:$G$36,"Other",0)</f>
        <v>Social Sciences and Law</v>
      </c>
      <c r="H218" s="24" t="str">
        <f>+_xlfn.XLOOKUP(G218,Data_Cleaning!$J$6:$J$11,Data_Cleaning!$K$6:$K$11)</f>
        <v>Social Sciences</v>
      </c>
      <c r="I218" s="12">
        <v>7220</v>
      </c>
      <c r="J218" s="12">
        <v>5000</v>
      </c>
      <c r="K218" s="12">
        <v>5000</v>
      </c>
      <c r="L218" s="12">
        <v>5000</v>
      </c>
    </row>
    <row r="219" spans="2:12" ht="15" customHeight="1">
      <c r="B219" s="10">
        <v>41047</v>
      </c>
      <c r="C219" s="23" t="s">
        <v>661</v>
      </c>
      <c r="D219" s="11" t="s">
        <v>11</v>
      </c>
      <c r="E219" s="25" t="s">
        <v>683</v>
      </c>
      <c r="F219" s="36" t="str">
        <f>+_xlfn.XLOOKUP(E219,Data_Cleaning!$B$6:$B$50,Data_Cleaning!$C$6:$C$50)</f>
        <v>Barcelona​</v>
      </c>
      <c r="G219" s="36" t="str" cm="1">
        <f t="array" ref="G219">_xlfn.XLOOKUP(TRUE,ISNUMBER(SEARCH(Data_Cleaning!$F$6:$F$36,C219)),Data_Cleaning!$G$6:$G$36,"Other",0)</f>
        <v>Engineering and Architecture</v>
      </c>
      <c r="H219" s="24" t="str">
        <f>+_xlfn.XLOOKUP(G219,Data_Cleaning!$J$6:$J$11,Data_Cleaning!$K$6:$K$11)</f>
        <v>Science and Technology</v>
      </c>
      <c r="I219" s="12">
        <v>7236</v>
      </c>
      <c r="J219" s="12">
        <v>5000</v>
      </c>
      <c r="K219" s="12">
        <v>5000</v>
      </c>
      <c r="L219" s="12">
        <v>5000</v>
      </c>
    </row>
    <row r="220" spans="2:12" ht="15" customHeight="1">
      <c r="B220" s="10">
        <v>81021</v>
      </c>
      <c r="C220" s="22" t="s">
        <v>303</v>
      </c>
      <c r="D220" s="11" t="s">
        <v>23</v>
      </c>
      <c r="E220" s="25" t="s">
        <v>686</v>
      </c>
      <c r="F220" s="36" t="str">
        <f>+_xlfn.XLOOKUP(E220,Data_Cleaning!$B$6:$B$50,Data_Cleaning!$C$6:$C$50)</f>
        <v>Girona​</v>
      </c>
      <c r="G220" s="36" t="str" cm="1">
        <f t="array" ref="G220">_xlfn.XLOOKUP(TRUE,ISNUMBER(SEARCH(Data_Cleaning!$F$6:$F$36,C220)),Data_Cleaning!$G$6:$G$36,"Other",0)</f>
        <v>Engineering and Architecture</v>
      </c>
      <c r="H220" s="24" t="str">
        <f>+_xlfn.XLOOKUP(G220,Data_Cleaning!$J$6:$J$11,Data_Cleaning!$K$6:$K$11)</f>
        <v>Science and Technology</v>
      </c>
      <c r="I220" s="12">
        <v>7244</v>
      </c>
      <c r="J220" s="12">
        <v>5000</v>
      </c>
      <c r="K220" s="12">
        <v>5000</v>
      </c>
      <c r="L220" s="12">
        <v>5000</v>
      </c>
    </row>
    <row r="221" spans="2:12" ht="15" customHeight="1">
      <c r="B221" s="10">
        <v>21137</v>
      </c>
      <c r="C221" s="22" t="s">
        <v>101</v>
      </c>
      <c r="D221" s="11" t="s">
        <v>20</v>
      </c>
      <c r="E221" s="25" t="s">
        <v>685</v>
      </c>
      <c r="F221" s="36" t="str">
        <f>+_xlfn.XLOOKUP(E221,Data_Cleaning!$B$6:$B$50,Data_Cleaning!$C$6:$C$50)</f>
        <v>Barcelona​</v>
      </c>
      <c r="G221" s="36" t="str" cm="1">
        <f t="array" ref="G221">_xlfn.XLOOKUP(TRUE,ISNUMBER(SEARCH(Data_Cleaning!$F$6:$F$36,C221)),Data_Cleaning!$G$6:$G$36,"Other",0)</f>
        <v>Arts and Humanities</v>
      </c>
      <c r="H221" s="24" t="str">
        <f>+_xlfn.XLOOKUP(G221,Data_Cleaning!$J$6:$J$11,Data_Cleaning!$K$6:$K$11)</f>
        <v>Arts and Humanities</v>
      </c>
      <c r="I221" s="12">
        <v>7260</v>
      </c>
      <c r="J221" s="12">
        <v>5000</v>
      </c>
      <c r="K221" s="12">
        <v>7060</v>
      </c>
      <c r="L221" s="12">
        <v>5000</v>
      </c>
    </row>
    <row r="222" spans="2:12" ht="15" customHeight="1">
      <c r="B222" s="10">
        <v>71033</v>
      </c>
      <c r="C222" s="22" t="s">
        <v>221</v>
      </c>
      <c r="D222" s="11" t="s">
        <v>18</v>
      </c>
      <c r="E222" s="25" t="s">
        <v>691</v>
      </c>
      <c r="F222" s="36" t="str">
        <f>+_xlfn.XLOOKUP(E222,Data_Cleaning!$B$6:$B$50,Data_Cleaning!$C$6:$C$50)</f>
        <v>Tarragona​</v>
      </c>
      <c r="G222" s="36" t="str" cm="1">
        <f t="array" ref="G222">_xlfn.XLOOKUP(TRUE,ISNUMBER(SEARCH(Data_Cleaning!$F$6:$F$36,C222)),Data_Cleaning!$G$6:$G$36,"Other",0)</f>
        <v>Social Sciences and Law</v>
      </c>
      <c r="H222" s="24" t="str">
        <f>+_xlfn.XLOOKUP(G222,Data_Cleaning!$J$6:$J$11,Data_Cleaning!$K$6:$K$11)</f>
        <v>Social Sciences</v>
      </c>
      <c r="I222" s="12">
        <v>7294</v>
      </c>
      <c r="J222" s="12">
        <v>5000</v>
      </c>
      <c r="K222" s="12">
        <v>6870</v>
      </c>
      <c r="L222" s="12">
        <v>5000</v>
      </c>
    </row>
    <row r="223" spans="2:12" ht="15" customHeight="1">
      <c r="B223" s="10">
        <v>81087</v>
      </c>
      <c r="C223" s="22" t="s">
        <v>401</v>
      </c>
      <c r="D223" s="11" t="s">
        <v>23</v>
      </c>
      <c r="E223" s="25" t="s">
        <v>698</v>
      </c>
      <c r="F223" s="36" t="str">
        <f>+_xlfn.XLOOKUP(E223,Data_Cleaning!$B$6:$B$50,Data_Cleaning!$C$6:$C$50)</f>
        <v>Girona​</v>
      </c>
      <c r="G223" s="36" t="str" cm="1">
        <f t="array" ref="G223">_xlfn.XLOOKUP(TRUE,ISNUMBER(SEARCH(Data_Cleaning!$F$6:$F$36,C223)),Data_Cleaning!$G$6:$G$36,"Other",0)</f>
        <v>Health Sciences</v>
      </c>
      <c r="H223" s="24" t="str">
        <f>+_xlfn.XLOOKUP(G223,Data_Cleaning!$J$6:$J$11,Data_Cleaning!$K$6:$K$11)</f>
        <v>Science and Technology</v>
      </c>
      <c r="I223" s="12">
        <v>7319</v>
      </c>
      <c r="J223" s="12">
        <v>5000</v>
      </c>
      <c r="K223" s="12">
        <v>5000</v>
      </c>
      <c r="L223" s="12">
        <v>5000</v>
      </c>
    </row>
    <row r="224" spans="2:12" ht="15" customHeight="1">
      <c r="B224" s="10">
        <v>81040</v>
      </c>
      <c r="C224" s="22" t="s">
        <v>294</v>
      </c>
      <c r="D224" s="11" t="s">
        <v>23</v>
      </c>
      <c r="E224" s="25" t="s">
        <v>686</v>
      </c>
      <c r="F224" s="36" t="str">
        <f>+_xlfn.XLOOKUP(E224,Data_Cleaning!$B$6:$B$50,Data_Cleaning!$C$6:$C$50)</f>
        <v>Girona​</v>
      </c>
      <c r="G224" s="36" t="str" cm="1">
        <f t="array" ref="G224">_xlfn.XLOOKUP(TRUE,ISNUMBER(SEARCH(Data_Cleaning!$F$6:$F$36,C224)),Data_Cleaning!$G$6:$G$36,"Other",0)</f>
        <v>Engineering and Architecture</v>
      </c>
      <c r="H224" s="24" t="str">
        <f>+_xlfn.XLOOKUP(G224,Data_Cleaning!$J$6:$J$11,Data_Cleaning!$K$6:$K$11)</f>
        <v>Science and Technology</v>
      </c>
      <c r="I224" s="12">
        <v>7330</v>
      </c>
      <c r="J224" s="12">
        <v>5000</v>
      </c>
      <c r="K224" s="12">
        <v>5000</v>
      </c>
      <c r="L224" s="12">
        <v>5000</v>
      </c>
    </row>
    <row r="225" spans="2:12" ht="15" customHeight="1">
      <c r="B225" s="10">
        <v>71080</v>
      </c>
      <c r="C225" s="23" t="s">
        <v>606</v>
      </c>
      <c r="D225" s="11" t="s">
        <v>18</v>
      </c>
      <c r="E225" s="25" t="s">
        <v>695</v>
      </c>
      <c r="F225" s="36" t="str">
        <f>+_xlfn.XLOOKUP(E225,Data_Cleaning!$B$6:$B$50,Data_Cleaning!$C$6:$C$50)</f>
        <v>Tarragona​</v>
      </c>
      <c r="G225" s="36" t="str" cm="1">
        <f t="array" ref="G225">_xlfn.XLOOKUP(TRUE,ISNUMBER(SEARCH(Data_Cleaning!$F$6:$F$36,C225)),Data_Cleaning!$G$6:$G$36,"Other",0)</f>
        <v>Double Degree</v>
      </c>
      <c r="H225" s="24" t="s">
        <v>795</v>
      </c>
      <c r="I225" s="12">
        <v>7346</v>
      </c>
      <c r="J225" s="12">
        <v>5000</v>
      </c>
      <c r="K225" s="12">
        <v>5000</v>
      </c>
      <c r="L225" s="12">
        <v>5000</v>
      </c>
    </row>
    <row r="226" spans="2:12" ht="15" customHeight="1">
      <c r="B226" s="10">
        <v>91041</v>
      </c>
      <c r="C226" s="22" t="s">
        <v>396</v>
      </c>
      <c r="D226" s="11" t="s">
        <v>28</v>
      </c>
      <c r="E226" s="25" t="s">
        <v>689</v>
      </c>
      <c r="F226" s="36" t="str">
        <f>+_xlfn.XLOOKUP(E226,Data_Cleaning!$B$6:$B$50,Data_Cleaning!$C$6:$C$50)</f>
        <v>Barcelona​</v>
      </c>
      <c r="G226" s="36" t="str" cm="1">
        <f t="array" ref="G226">_xlfn.XLOOKUP(TRUE,ISNUMBER(SEARCH(Data_Cleaning!$F$6:$F$36,C226)),Data_Cleaning!$G$6:$G$36,"Other",0)</f>
        <v>Health Sciences</v>
      </c>
      <c r="H226" s="24" t="str">
        <f>+_xlfn.XLOOKUP(G226,Data_Cleaning!$J$6:$J$11,Data_Cleaning!$K$6:$K$11)</f>
        <v>Science and Technology</v>
      </c>
      <c r="I226" s="12">
        <v>7347</v>
      </c>
      <c r="J226" s="12">
        <v>5000</v>
      </c>
      <c r="K226" s="12">
        <v>5000</v>
      </c>
      <c r="L226" s="12">
        <v>5000</v>
      </c>
    </row>
    <row r="227" spans="2:12" ht="15" customHeight="1">
      <c r="B227" s="10">
        <v>61053</v>
      </c>
      <c r="C227" s="22" t="s">
        <v>48</v>
      </c>
      <c r="D227" s="11" t="s">
        <v>25</v>
      </c>
      <c r="E227" s="25" t="s">
        <v>688</v>
      </c>
      <c r="F227" s="36" t="str">
        <f>+_xlfn.XLOOKUP(E227,Data_Cleaning!$B$6:$B$50,Data_Cleaning!$C$6:$C$50)</f>
        <v>Lleida​</v>
      </c>
      <c r="G227" s="36" t="str" cm="1">
        <f t="array" ref="G227">_xlfn.XLOOKUP(TRUE,ISNUMBER(SEARCH(Data_Cleaning!$F$6:$F$36,C227)),Data_Cleaning!$G$6:$G$36,"Other",0)</f>
        <v>Double Degree</v>
      </c>
      <c r="H227" s="24" t="s">
        <v>795</v>
      </c>
      <c r="I227" s="12">
        <v>7360</v>
      </c>
      <c r="J227" s="12">
        <v>5000</v>
      </c>
      <c r="K227" s="12">
        <v>5000</v>
      </c>
      <c r="L227" s="12">
        <v>5000</v>
      </c>
    </row>
    <row r="228" spans="2:12" ht="15" customHeight="1">
      <c r="B228" s="10">
        <v>71026</v>
      </c>
      <c r="C228" s="22" t="s">
        <v>575</v>
      </c>
      <c r="D228" s="11" t="s">
        <v>18</v>
      </c>
      <c r="E228" s="25" t="s">
        <v>696</v>
      </c>
      <c r="F228" s="36" t="str">
        <f>+_xlfn.XLOOKUP(E228,Data_Cleaning!$B$6:$B$50,Data_Cleaning!$C$6:$C$50)</f>
        <v>Tarragona​</v>
      </c>
      <c r="G228" s="36" t="str" cm="1">
        <f t="array" ref="G228">_xlfn.XLOOKUP(TRUE,ISNUMBER(SEARCH(Data_Cleaning!$F$6:$F$36,C228)),Data_Cleaning!$G$6:$G$36,"Other",0)</f>
        <v>Social Sciences and Law</v>
      </c>
      <c r="H228" s="24" t="str">
        <f>+_xlfn.XLOOKUP(G228,Data_Cleaning!$J$6:$J$11,Data_Cleaning!$K$6:$K$11)</f>
        <v>Social Sciences</v>
      </c>
      <c r="I228" s="12">
        <v>7362</v>
      </c>
      <c r="J228" s="12">
        <v>5000</v>
      </c>
      <c r="K228" s="12">
        <v>5000</v>
      </c>
      <c r="L228" s="12">
        <v>5000</v>
      </c>
    </row>
    <row r="229" spans="2:12" ht="15" customHeight="1">
      <c r="B229" s="10">
        <v>21056</v>
      </c>
      <c r="C229" s="22" t="s">
        <v>559</v>
      </c>
      <c r="D229" s="11" t="s">
        <v>20</v>
      </c>
      <c r="E229" s="25" t="s">
        <v>685</v>
      </c>
      <c r="F229" s="36" t="str">
        <f>+_xlfn.XLOOKUP(E229,Data_Cleaning!$B$6:$B$50,Data_Cleaning!$C$6:$C$50)</f>
        <v>Barcelona​</v>
      </c>
      <c r="G229" s="36" t="str" cm="1">
        <f t="array" ref="G229">_xlfn.XLOOKUP(TRUE,ISNUMBER(SEARCH(Data_Cleaning!$F$6:$F$36,C229)),Data_Cleaning!$G$6:$G$36,"Other",0)</f>
        <v>Social Sciences and Law</v>
      </c>
      <c r="H229" s="24" t="str">
        <f>+_xlfn.XLOOKUP(G229,Data_Cleaning!$J$6:$J$11,Data_Cleaning!$K$6:$K$11)</f>
        <v>Social Sciences</v>
      </c>
      <c r="I229" s="12">
        <v>7390</v>
      </c>
      <c r="J229" s="12">
        <v>5000</v>
      </c>
      <c r="K229" s="12">
        <v>5000</v>
      </c>
      <c r="L229" s="12">
        <v>5000</v>
      </c>
    </row>
    <row r="230" spans="2:12" ht="15" customHeight="1">
      <c r="B230" s="10">
        <v>81059</v>
      </c>
      <c r="C230" s="22" t="s">
        <v>169</v>
      </c>
      <c r="D230" s="11" t="s">
        <v>23</v>
      </c>
      <c r="E230" s="25" t="s">
        <v>686</v>
      </c>
      <c r="F230" s="36" t="str">
        <f>+_xlfn.XLOOKUP(E230,Data_Cleaning!$B$6:$B$50,Data_Cleaning!$C$6:$C$50)</f>
        <v>Girona​</v>
      </c>
      <c r="G230" s="36" t="s">
        <v>753</v>
      </c>
      <c r="H230" s="24" t="str">
        <f>+_xlfn.XLOOKUP(G230,Data_Cleaning!$J$6:$J$11,Data_Cleaning!$K$6:$K$11)</f>
        <v>Science and Technology</v>
      </c>
      <c r="I230" s="12">
        <v>7408</v>
      </c>
      <c r="J230" s="12">
        <v>5000</v>
      </c>
      <c r="K230" s="12">
        <v>5000</v>
      </c>
      <c r="L230" s="12">
        <v>5000</v>
      </c>
    </row>
    <row r="231" spans="2:12" ht="15" customHeight="1">
      <c r="B231" s="10">
        <v>91004</v>
      </c>
      <c r="C231" s="22" t="s">
        <v>90</v>
      </c>
      <c r="D231" s="11" t="s">
        <v>28</v>
      </c>
      <c r="E231" s="25" t="s">
        <v>692</v>
      </c>
      <c r="F231" s="36" t="str">
        <f>+_xlfn.XLOOKUP(E231,Data_Cleaning!$B$6:$B$50,Data_Cleaning!$C$6:$C$50)</f>
        <v>Barcelona​</v>
      </c>
      <c r="G231" s="36" t="s">
        <v>768</v>
      </c>
      <c r="H231" s="24" t="str">
        <f>+_xlfn.XLOOKUP(G231,Data_Cleaning!$J$6:$J$11,Data_Cleaning!$K$6:$K$11)</f>
        <v>Science and Technology</v>
      </c>
      <c r="I231" s="12">
        <v>7432</v>
      </c>
      <c r="J231" s="12">
        <v>5000</v>
      </c>
      <c r="K231" s="12">
        <v>5000</v>
      </c>
      <c r="L231" s="12">
        <v>5000</v>
      </c>
    </row>
    <row r="232" spans="2:12" ht="15" customHeight="1">
      <c r="B232" s="10">
        <v>21149</v>
      </c>
      <c r="C232" s="22" t="s">
        <v>416</v>
      </c>
      <c r="D232" s="11" t="s">
        <v>20</v>
      </c>
      <c r="E232" s="25" t="s">
        <v>685</v>
      </c>
      <c r="F232" s="36" t="str">
        <f>+_xlfn.XLOOKUP(E232,Data_Cleaning!$B$6:$B$50,Data_Cleaning!$C$6:$C$50)</f>
        <v>Barcelona​</v>
      </c>
      <c r="G232" s="36" t="s">
        <v>753</v>
      </c>
      <c r="H232" s="24" t="str">
        <f>+_xlfn.XLOOKUP(G232,Data_Cleaning!$J$6:$J$11,Data_Cleaning!$K$6:$K$11)</f>
        <v>Science and Technology</v>
      </c>
      <c r="I232" s="12">
        <v>7466</v>
      </c>
      <c r="J232" s="12">
        <v>5000</v>
      </c>
      <c r="K232" s="12">
        <v>5000</v>
      </c>
      <c r="L232" s="12">
        <v>5000</v>
      </c>
    </row>
    <row r="233" spans="2:12" ht="15" customHeight="1">
      <c r="B233" s="10">
        <v>71082</v>
      </c>
      <c r="C233" s="22" t="s">
        <v>556</v>
      </c>
      <c r="D233" s="11" t="s">
        <v>18</v>
      </c>
      <c r="E233" s="25" t="s">
        <v>696</v>
      </c>
      <c r="F233" s="36" t="str">
        <f>+_xlfn.XLOOKUP(E233,Data_Cleaning!$B$6:$B$50,Data_Cleaning!$C$6:$C$50)</f>
        <v>Tarragona​</v>
      </c>
      <c r="G233" s="36" t="s">
        <v>762</v>
      </c>
      <c r="H233" s="24" t="str">
        <f>+_xlfn.XLOOKUP(G233,Data_Cleaning!$J$6:$J$11,Data_Cleaning!$K$6:$K$11)</f>
        <v>Social Sciences</v>
      </c>
      <c r="I233" s="12">
        <v>7492</v>
      </c>
      <c r="J233" s="12">
        <v>5000</v>
      </c>
      <c r="K233" s="12">
        <v>5000</v>
      </c>
      <c r="L233" s="12">
        <v>5000</v>
      </c>
    </row>
    <row r="234" spans="2:12" ht="15" customHeight="1">
      <c r="B234" s="10">
        <v>11063</v>
      </c>
      <c r="C234" s="22" t="s">
        <v>558</v>
      </c>
      <c r="D234" s="11" t="s">
        <v>16</v>
      </c>
      <c r="E234" s="25" t="s">
        <v>684</v>
      </c>
      <c r="F234" s="36" t="str">
        <f>+_xlfn.XLOOKUP(E234,Data_Cleaning!$B$6:$B$50,Data_Cleaning!$C$6:$C$50)</f>
        <v>Barcelona​</v>
      </c>
      <c r="G234" s="36" t="str" cm="1">
        <f t="array" ref="G234">_xlfn.XLOOKUP(TRUE,ISNUMBER(SEARCH(Data_Cleaning!$F$6:$F$36,C234)),Data_Cleaning!$G$6:$G$36,"Other",0)</f>
        <v>Social Sciences and Law</v>
      </c>
      <c r="H234" s="24" t="str">
        <f>+_xlfn.XLOOKUP(G234,Data_Cleaning!$J$6:$J$11,Data_Cleaning!$K$6:$K$11)</f>
        <v>Social Sciences</v>
      </c>
      <c r="I234" s="12">
        <v>7514</v>
      </c>
      <c r="J234" s="12">
        <v>5000</v>
      </c>
      <c r="K234" s="12">
        <v>5000</v>
      </c>
      <c r="L234" s="12">
        <v>5000</v>
      </c>
    </row>
    <row r="235" spans="2:12" ht="15" customHeight="1">
      <c r="B235" s="10">
        <v>91918</v>
      </c>
      <c r="C235" s="23" t="s">
        <v>680</v>
      </c>
      <c r="D235" s="11" t="s">
        <v>399</v>
      </c>
      <c r="E235" s="25" t="s">
        <v>709</v>
      </c>
      <c r="F235" s="36" t="str">
        <f>+_xlfn.XLOOKUP(E235,Data_Cleaning!$B$6:$B$50,Data_Cleaning!$C$6:$C$50)</f>
        <v>Barcelona​</v>
      </c>
      <c r="G235" s="36" t="str" cm="1">
        <f t="array" ref="G235">_xlfn.XLOOKUP(TRUE,ISNUMBER(SEARCH(Data_Cleaning!$F$6:$F$36,C235)),Data_Cleaning!$G$6:$G$36,"Other",0)</f>
        <v>Health Sciences</v>
      </c>
      <c r="H235" s="24" t="str">
        <f>+_xlfn.XLOOKUP(G235,Data_Cleaning!$J$6:$J$11,Data_Cleaning!$K$6:$K$11)</f>
        <v>Science and Technology</v>
      </c>
      <c r="I235" s="12">
        <v>7534</v>
      </c>
      <c r="J235" s="12">
        <v>5000</v>
      </c>
      <c r="K235" s="12">
        <v>6870</v>
      </c>
      <c r="L235" s="12">
        <v>5000</v>
      </c>
    </row>
    <row r="236" spans="2:12" ht="15" customHeight="1">
      <c r="B236" s="10">
        <v>31065</v>
      </c>
      <c r="C236" s="22" t="s">
        <v>282</v>
      </c>
      <c r="D236" s="11" t="s">
        <v>58</v>
      </c>
      <c r="E236" s="25" t="s">
        <v>689</v>
      </c>
      <c r="F236" s="36" t="str">
        <f>+_xlfn.XLOOKUP(E236,Data_Cleaning!$B$6:$B$50,Data_Cleaning!$C$6:$C$50)</f>
        <v>Barcelona​</v>
      </c>
      <c r="G236" s="36" t="str" cm="1">
        <f t="array" ref="G236">_xlfn.XLOOKUP(TRUE,ISNUMBER(SEARCH(Data_Cleaning!$F$6:$F$36,C236)),Data_Cleaning!$G$6:$G$36,"Other",0)</f>
        <v>Engineering and Architecture</v>
      </c>
      <c r="H236" s="24" t="str">
        <f>+_xlfn.XLOOKUP(G236,Data_Cleaning!$J$6:$J$11,Data_Cleaning!$K$6:$K$11)</f>
        <v>Science and Technology</v>
      </c>
      <c r="I236" s="12">
        <v>7538</v>
      </c>
      <c r="J236" s="12">
        <v>5000</v>
      </c>
      <c r="K236" s="12">
        <v>5000</v>
      </c>
      <c r="L236" s="12">
        <v>5000</v>
      </c>
    </row>
    <row r="237" spans="2:12" ht="15" customHeight="1">
      <c r="B237" s="10">
        <v>41041</v>
      </c>
      <c r="C237" s="23" t="s">
        <v>599</v>
      </c>
      <c r="D237" s="11" t="s">
        <v>11</v>
      </c>
      <c r="E237" s="25" t="s">
        <v>683</v>
      </c>
      <c r="F237" s="36" t="str">
        <f>+_xlfn.XLOOKUP(E237,Data_Cleaning!$B$6:$B$50,Data_Cleaning!$C$6:$C$50)</f>
        <v>Barcelona​</v>
      </c>
      <c r="G237" s="36" t="str" cm="1">
        <f t="array" ref="G237">_xlfn.XLOOKUP(TRUE,ISNUMBER(SEARCH(Data_Cleaning!$F$6:$F$36,C237)),Data_Cleaning!$G$6:$G$36,"Other",0)</f>
        <v>Double Degree</v>
      </c>
      <c r="H237" s="24" t="s">
        <v>795</v>
      </c>
      <c r="I237" s="12">
        <v>7546</v>
      </c>
      <c r="J237" s="12">
        <v>5000</v>
      </c>
      <c r="K237" s="12">
        <v>5000</v>
      </c>
      <c r="L237" s="12">
        <v>5000</v>
      </c>
    </row>
    <row r="238" spans="2:12" ht="15" customHeight="1">
      <c r="B238" s="10">
        <v>31038</v>
      </c>
      <c r="C238" s="22" t="s">
        <v>564</v>
      </c>
      <c r="D238" s="11" t="s">
        <v>58</v>
      </c>
      <c r="E238" s="25" t="s">
        <v>684</v>
      </c>
      <c r="F238" s="36" t="str">
        <f>+_xlfn.XLOOKUP(E238,Data_Cleaning!$B$6:$B$50,Data_Cleaning!$C$6:$C$50)</f>
        <v>Barcelona​</v>
      </c>
      <c r="G238" s="36" t="s">
        <v>753</v>
      </c>
      <c r="H238" s="24" t="str">
        <f>+_xlfn.XLOOKUP(G238,Data_Cleaning!$J$6:$J$11,Data_Cleaning!$K$6:$K$11)</f>
        <v>Science and Technology</v>
      </c>
      <c r="I238" s="12">
        <v>7548</v>
      </c>
      <c r="J238" s="12">
        <v>5000</v>
      </c>
      <c r="K238" s="12">
        <v>6420</v>
      </c>
      <c r="L238" s="12">
        <v>5000</v>
      </c>
    </row>
    <row r="239" spans="2:12" ht="15" customHeight="1">
      <c r="B239" s="10">
        <v>81010</v>
      </c>
      <c r="C239" s="22" t="s">
        <v>130</v>
      </c>
      <c r="D239" s="11" t="s">
        <v>23</v>
      </c>
      <c r="E239" s="25" t="s">
        <v>686</v>
      </c>
      <c r="F239" s="36" t="str">
        <f>+_xlfn.XLOOKUP(E239,Data_Cleaning!$B$6:$B$50,Data_Cleaning!$C$6:$C$50)</f>
        <v>Girona​</v>
      </c>
      <c r="G239" s="36" t="str" cm="1">
        <f t="array" ref="G239">_xlfn.XLOOKUP(TRUE,ISNUMBER(SEARCH(Data_Cleaning!$F$6:$F$36,C239)),Data_Cleaning!$G$6:$G$36,"Other",0)</f>
        <v>Social Sciences and Law</v>
      </c>
      <c r="H239" s="24" t="str">
        <f>+_xlfn.XLOOKUP(G239,Data_Cleaning!$J$6:$J$11,Data_Cleaning!$K$6:$K$11)</f>
        <v>Social Sciences</v>
      </c>
      <c r="I239" s="12">
        <v>7578</v>
      </c>
      <c r="J239" s="12">
        <v>5000</v>
      </c>
      <c r="K239" s="12">
        <v>5000</v>
      </c>
      <c r="L239" s="12">
        <v>5000</v>
      </c>
    </row>
    <row r="240" spans="2:12" ht="15" customHeight="1">
      <c r="B240" s="10">
        <v>31100</v>
      </c>
      <c r="C240" s="22" t="s">
        <v>241</v>
      </c>
      <c r="D240" s="11" t="s">
        <v>58</v>
      </c>
      <c r="E240" s="25" t="s">
        <v>712</v>
      </c>
      <c r="F240" s="36" t="str">
        <f>+_xlfn.XLOOKUP(E240,Data_Cleaning!$B$6:$B$50,Data_Cleaning!$C$6:$C$50)</f>
        <v>Barcelona​</v>
      </c>
      <c r="G240" s="36" t="str" cm="1">
        <f t="array" ref="G240">_xlfn.XLOOKUP(TRUE,ISNUMBER(SEARCH(Data_Cleaning!$F$6:$F$36,C240)),Data_Cleaning!$G$6:$G$36,"Other",0)</f>
        <v>Engineering and Architecture</v>
      </c>
      <c r="H240" s="24" t="str">
        <f>+_xlfn.XLOOKUP(G240,Data_Cleaning!$J$6:$J$11,Data_Cleaning!$K$6:$K$11)</f>
        <v>Science and Technology</v>
      </c>
      <c r="I240" s="12">
        <v>7598</v>
      </c>
      <c r="J240" s="12">
        <v>5000</v>
      </c>
      <c r="K240" s="12">
        <v>5000</v>
      </c>
      <c r="L240" s="12">
        <v>5000</v>
      </c>
    </row>
    <row r="241" spans="2:12" ht="15" customHeight="1">
      <c r="B241" s="10">
        <v>41036</v>
      </c>
      <c r="C241" s="23" t="s">
        <v>597</v>
      </c>
      <c r="D241" s="11" t="s">
        <v>11</v>
      </c>
      <c r="E241" s="25" t="s">
        <v>683</v>
      </c>
      <c r="F241" s="36" t="str">
        <f>+_xlfn.XLOOKUP(E241,Data_Cleaning!$B$6:$B$50,Data_Cleaning!$C$6:$C$50)</f>
        <v>Barcelona​</v>
      </c>
      <c r="G241" s="36" t="str" cm="1">
        <f t="array" ref="G241">_xlfn.XLOOKUP(TRUE,ISNUMBER(SEARCH(Data_Cleaning!$F$6:$F$36,C241)),Data_Cleaning!$G$6:$G$36,"Other",0)</f>
        <v>Social Sciences and Law</v>
      </c>
      <c r="H241" s="24" t="str">
        <f>+_xlfn.XLOOKUP(G241,Data_Cleaning!$J$6:$J$11,Data_Cleaning!$K$6:$K$11)</f>
        <v>Social Sciences</v>
      </c>
      <c r="I241" s="12">
        <v>7628</v>
      </c>
      <c r="J241" s="12">
        <v>5000</v>
      </c>
      <c r="K241" s="12">
        <v>5000</v>
      </c>
      <c r="L241" s="12">
        <v>5000</v>
      </c>
    </row>
    <row r="242" spans="2:12" ht="15" customHeight="1">
      <c r="B242" s="10">
        <v>61073</v>
      </c>
      <c r="C242" s="22" t="s">
        <v>219</v>
      </c>
      <c r="D242" s="11" t="s">
        <v>25</v>
      </c>
      <c r="E242" s="25" t="s">
        <v>688</v>
      </c>
      <c r="F242" s="36" t="str">
        <f>+_xlfn.XLOOKUP(E242,Data_Cleaning!$B$6:$B$50,Data_Cleaning!$C$6:$C$50)</f>
        <v>Lleida​</v>
      </c>
      <c r="G242" s="36" t="str" cm="1">
        <f t="array" ref="G242">_xlfn.XLOOKUP(TRUE,ISNUMBER(SEARCH(Data_Cleaning!$F$6:$F$36,C242)),Data_Cleaning!$G$6:$G$36,"Other",0)</f>
        <v>Social Sciences and Law</v>
      </c>
      <c r="H242" s="24" t="str">
        <f>+_xlfn.XLOOKUP(G242,Data_Cleaning!$J$6:$J$11,Data_Cleaning!$K$6:$K$11)</f>
        <v>Social Sciences</v>
      </c>
      <c r="I242" s="12">
        <v>7636</v>
      </c>
      <c r="J242" s="12">
        <v>5000</v>
      </c>
      <c r="K242" s="12">
        <v>5000</v>
      </c>
      <c r="L242" s="12">
        <v>5000</v>
      </c>
    </row>
    <row r="243" spans="2:12" ht="15" customHeight="1">
      <c r="B243" s="10">
        <v>31096</v>
      </c>
      <c r="C243" s="22" t="s">
        <v>128</v>
      </c>
      <c r="D243" s="11" t="s">
        <v>58</v>
      </c>
      <c r="E243" s="25" t="s">
        <v>705</v>
      </c>
      <c r="F243" s="36" t="str">
        <f>+_xlfn.XLOOKUP(E243,Data_Cleaning!$B$6:$B$50,Data_Cleaning!$C$6:$C$50)</f>
        <v>Barcelona​</v>
      </c>
      <c r="G243" s="36" t="s">
        <v>756</v>
      </c>
      <c r="H243" s="24" t="str">
        <f>+_xlfn.XLOOKUP(G243,Data_Cleaning!$J$6:$J$11,Data_Cleaning!$K$6:$K$11)</f>
        <v>Science and Technology</v>
      </c>
      <c r="I243" s="12">
        <v>7662</v>
      </c>
      <c r="J243" s="12">
        <v>5000</v>
      </c>
      <c r="K243" s="12">
        <v>6250</v>
      </c>
      <c r="L243" s="12">
        <v>5000</v>
      </c>
    </row>
    <row r="244" spans="2:12" ht="15" customHeight="1">
      <c r="B244" s="10">
        <v>41029</v>
      </c>
      <c r="C244" s="22" t="s">
        <v>10</v>
      </c>
      <c r="D244" s="11" t="s">
        <v>11</v>
      </c>
      <c r="E244" s="25" t="s">
        <v>683</v>
      </c>
      <c r="F244" s="36" t="str">
        <f>+_xlfn.XLOOKUP(E244,Data_Cleaning!$B$6:$B$50,Data_Cleaning!$C$6:$C$50)</f>
        <v>Barcelona​</v>
      </c>
      <c r="G244" s="36" t="str" cm="1">
        <f t="array" ref="G244">_xlfn.XLOOKUP(TRUE,ISNUMBER(SEARCH(Data_Cleaning!$F$6:$F$40,C244)),Data_Cleaning!$G$6:$G$40,"Other",0)</f>
        <v>Social Sciences and Law</v>
      </c>
      <c r="H244" s="24" t="str">
        <f>+_xlfn.XLOOKUP(G244,Data_Cleaning!$J$6:$J$11,Data_Cleaning!$K$6:$K$11)</f>
        <v>Social Sciences</v>
      </c>
      <c r="I244" s="12">
        <v>7688</v>
      </c>
      <c r="J244" s="12">
        <v>5000</v>
      </c>
      <c r="K244" s="12">
        <v>5000</v>
      </c>
      <c r="L244" s="12">
        <v>5000</v>
      </c>
    </row>
    <row r="245" spans="2:12" ht="15" customHeight="1">
      <c r="B245" s="10">
        <v>61076</v>
      </c>
      <c r="C245" s="23" t="s">
        <v>660</v>
      </c>
      <c r="D245" s="11" t="s">
        <v>25</v>
      </c>
      <c r="E245" s="25" t="s">
        <v>688</v>
      </c>
      <c r="F245" s="36" t="str">
        <f>+_xlfn.XLOOKUP(E245,Data_Cleaning!$B$6:$B$50,Data_Cleaning!$C$6:$C$50)</f>
        <v>Lleida​</v>
      </c>
      <c r="G245" s="36" t="str" cm="1">
        <f t="array" ref="G245">_xlfn.XLOOKUP(TRUE,ISNUMBER(SEARCH(Data_Cleaning!$F$6:$F$36,C245)),Data_Cleaning!$G$6:$G$36,"Other",0)</f>
        <v>Engineering and Architecture</v>
      </c>
      <c r="H245" s="24" t="str">
        <f>+_xlfn.XLOOKUP(G245,Data_Cleaning!$J$6:$J$11,Data_Cleaning!$K$6:$K$11)</f>
        <v>Science and Technology</v>
      </c>
      <c r="I245" s="12">
        <v>7735</v>
      </c>
      <c r="J245" s="12">
        <v>5000</v>
      </c>
      <c r="K245" s="12">
        <v>5000</v>
      </c>
      <c r="L245" s="12">
        <v>5000</v>
      </c>
    </row>
    <row r="246" spans="2:12" ht="15" customHeight="1">
      <c r="B246" s="10">
        <v>61003</v>
      </c>
      <c r="C246" s="22" t="s">
        <v>26</v>
      </c>
      <c r="D246" s="11" t="s">
        <v>25</v>
      </c>
      <c r="E246" s="25" t="s">
        <v>688</v>
      </c>
      <c r="F246" s="36" t="str">
        <f>+_xlfn.XLOOKUP(E246,Data_Cleaning!$B$6:$B$50,Data_Cleaning!$C$6:$C$50)</f>
        <v>Lleida​</v>
      </c>
      <c r="G246" s="36" t="str" cm="1">
        <f t="array" ref="G246">_xlfn.XLOOKUP(TRUE,ISNUMBER(SEARCH(Data_Cleaning!$F$6:$F$36,C246)),Data_Cleaning!$G$6:$G$36,"Other",0)</f>
        <v>Social Sciences and Law</v>
      </c>
      <c r="H246" s="24" t="str">
        <f>+_xlfn.XLOOKUP(G246,Data_Cleaning!$J$6:$J$11,Data_Cleaning!$K$6:$K$11)</f>
        <v>Social Sciences</v>
      </c>
      <c r="I246" s="12">
        <v>7764</v>
      </c>
      <c r="J246" s="12">
        <v>5000</v>
      </c>
      <c r="K246" s="12">
        <v>5000</v>
      </c>
      <c r="L246" s="12">
        <v>5000</v>
      </c>
    </row>
    <row r="247" spans="2:12" ht="15" customHeight="1">
      <c r="B247" s="10">
        <v>81019</v>
      </c>
      <c r="C247" s="22" t="s">
        <v>225</v>
      </c>
      <c r="D247" s="11" t="s">
        <v>23</v>
      </c>
      <c r="E247" s="25" t="s">
        <v>686</v>
      </c>
      <c r="F247" s="36" t="str">
        <f>+_xlfn.XLOOKUP(E247,Data_Cleaning!$B$6:$B$50,Data_Cleaning!$C$6:$C$50)</f>
        <v>Girona​</v>
      </c>
      <c r="G247" s="36" t="str" cm="1">
        <f t="array" ref="G247">_xlfn.XLOOKUP(TRUE,ISNUMBER(SEARCH(Data_Cleaning!$F$6:$F$36,C247)),Data_Cleaning!$G$6:$G$36,"Other",0)</f>
        <v>Social Sciences and Law</v>
      </c>
      <c r="H247" s="24" t="str">
        <f>+_xlfn.XLOOKUP(G247,Data_Cleaning!$J$6:$J$11,Data_Cleaning!$K$6:$K$11)</f>
        <v>Social Sciences</v>
      </c>
      <c r="I247" s="12">
        <v>7766</v>
      </c>
      <c r="J247" s="12">
        <v>5000</v>
      </c>
      <c r="K247" s="12">
        <v>5000</v>
      </c>
      <c r="L247" s="12">
        <v>5000</v>
      </c>
    </row>
    <row r="248" spans="2:12" ht="15" customHeight="1">
      <c r="B248" s="10">
        <v>31004</v>
      </c>
      <c r="C248" s="22" t="s">
        <v>240</v>
      </c>
      <c r="D248" s="11" t="s">
        <v>58</v>
      </c>
      <c r="E248" s="25" t="s">
        <v>711</v>
      </c>
      <c r="F248" s="36" t="str">
        <f>+_xlfn.XLOOKUP(E248,Data_Cleaning!$B$6:$B$50,Data_Cleaning!$C$6:$C$50)</f>
        <v>Barcelona​</v>
      </c>
      <c r="G248" s="36" t="str" cm="1">
        <f t="array" ref="G248">_xlfn.XLOOKUP(TRUE,ISNUMBER(SEARCH(Data_Cleaning!$F$6:$F$36,C248)),Data_Cleaning!$G$6:$G$36,"Other",0)</f>
        <v>Engineering and Architecture</v>
      </c>
      <c r="H248" s="24" t="str">
        <f>+_xlfn.XLOOKUP(G248,Data_Cleaning!$J$6:$J$11,Data_Cleaning!$K$6:$K$11)</f>
        <v>Science and Technology</v>
      </c>
      <c r="I248" s="12">
        <v>7770</v>
      </c>
      <c r="J248" s="12">
        <v>5000</v>
      </c>
      <c r="K248" s="12">
        <v>5000</v>
      </c>
      <c r="L248" s="12">
        <v>5000</v>
      </c>
    </row>
    <row r="249" spans="2:12" ht="15" customHeight="1">
      <c r="B249" s="10">
        <v>71042</v>
      </c>
      <c r="C249" s="22" t="s">
        <v>281</v>
      </c>
      <c r="D249" s="11" t="s">
        <v>18</v>
      </c>
      <c r="E249" s="25" t="s">
        <v>696</v>
      </c>
      <c r="F249" s="36" t="str">
        <f>+_xlfn.XLOOKUP(E249,Data_Cleaning!$B$6:$B$50,Data_Cleaning!$C$6:$C$50)</f>
        <v>Tarragona​</v>
      </c>
      <c r="G249" s="36" t="str" cm="1">
        <f t="array" ref="G249">_xlfn.XLOOKUP(TRUE,ISNUMBER(SEARCH(Data_Cleaning!$F$6:$F$36,C249)),Data_Cleaning!$G$6:$G$36,"Other",0)</f>
        <v>Engineering and Architecture</v>
      </c>
      <c r="H249" s="24" t="str">
        <f>+_xlfn.XLOOKUP(G249,Data_Cleaning!$J$6:$J$11,Data_Cleaning!$K$6:$K$11)</f>
        <v>Science and Technology</v>
      </c>
      <c r="I249" s="12">
        <v>7776</v>
      </c>
      <c r="J249" s="12">
        <v>5000</v>
      </c>
      <c r="K249" s="12">
        <v>5000</v>
      </c>
      <c r="L249" s="12">
        <v>5000</v>
      </c>
    </row>
    <row r="250" spans="2:12" ht="15" customHeight="1">
      <c r="B250" s="10">
        <v>71034</v>
      </c>
      <c r="C250" s="22" t="s">
        <v>200</v>
      </c>
      <c r="D250" s="11" t="s">
        <v>18</v>
      </c>
      <c r="E250" s="25" t="s">
        <v>728</v>
      </c>
      <c r="F250" s="36" t="str">
        <f>+_xlfn.XLOOKUP(E250,Data_Cleaning!$B$6:$B$50,Data_Cleaning!$C$6:$C$50)</f>
        <v>Tarragona​</v>
      </c>
      <c r="G250" s="36" t="str" cm="1">
        <f t="array" ref="G250">_xlfn.XLOOKUP(TRUE,ISNUMBER(SEARCH(Data_Cleaning!$F$6:$F$36,C250)),Data_Cleaning!$G$6:$G$36,"Other",0)</f>
        <v>Social Sciences and Law</v>
      </c>
      <c r="H250" s="24" t="str">
        <f>+_xlfn.XLOOKUP(G250,Data_Cleaning!$J$6:$J$11,Data_Cleaning!$K$6:$K$11)</f>
        <v>Social Sciences</v>
      </c>
      <c r="I250" s="12">
        <v>7787</v>
      </c>
      <c r="J250" s="12">
        <v>5000</v>
      </c>
      <c r="K250" s="12">
        <v>5000</v>
      </c>
      <c r="L250" s="12">
        <v>5000</v>
      </c>
    </row>
    <row r="251" spans="2:12" ht="15" customHeight="1">
      <c r="B251" s="15">
        <v>11051</v>
      </c>
      <c r="C251" s="154" t="s">
        <v>572</v>
      </c>
      <c r="D251" s="14" t="s">
        <v>16</v>
      </c>
      <c r="E251" s="25" t="s">
        <v>684</v>
      </c>
      <c r="F251" s="36" t="str">
        <f>+_xlfn.XLOOKUP(E251,Data_Cleaning!$B$6:$B$50,Data_Cleaning!$C$6:$C$50)</f>
        <v>Barcelona​</v>
      </c>
      <c r="G251" s="36" t="str" cm="1">
        <f t="array" ref="G251">_xlfn.XLOOKUP(TRUE,ISNUMBER(SEARCH(Data_Cleaning!$F$6:$F$36,C251)),Data_Cleaning!$G$6:$G$36,"Other",0)</f>
        <v>Social Sciences and Law</v>
      </c>
      <c r="H251" s="24" t="str">
        <f>+_xlfn.XLOOKUP(G251,Data_Cleaning!$J$6:$J$11,Data_Cleaning!$K$6:$K$11)</f>
        <v>Social Sciences</v>
      </c>
      <c r="I251" s="16">
        <v>7830</v>
      </c>
      <c r="J251" s="16">
        <v>5000</v>
      </c>
      <c r="K251" s="16">
        <v>5000</v>
      </c>
      <c r="L251" s="16">
        <v>5000</v>
      </c>
    </row>
    <row r="252" spans="2:12" ht="15" customHeight="1">
      <c r="B252" s="10">
        <v>11096</v>
      </c>
      <c r="C252" s="22" t="s">
        <v>56</v>
      </c>
      <c r="D252" s="11" t="s">
        <v>16</v>
      </c>
      <c r="E252" s="25" t="s">
        <v>684</v>
      </c>
      <c r="F252" s="36" t="str">
        <f>+_xlfn.XLOOKUP(E252,Data_Cleaning!$B$6:$B$50,Data_Cleaning!$C$6:$C$50)</f>
        <v>Barcelona​</v>
      </c>
      <c r="G252" s="36" t="str" cm="1">
        <f t="array" ref="G252">_xlfn.XLOOKUP(TRUE,ISNUMBER(SEARCH(Data_Cleaning!$F$6:$F$36,C252)),Data_Cleaning!$G$6:$G$36,"Other",0)</f>
        <v>Double Degree</v>
      </c>
      <c r="H252" s="24" t="s">
        <v>775</v>
      </c>
      <c r="I252" s="12">
        <v>7836</v>
      </c>
      <c r="J252" s="12">
        <v>5875</v>
      </c>
      <c r="K252" s="12">
        <v>5000</v>
      </c>
      <c r="L252" s="12">
        <v>5000</v>
      </c>
    </row>
    <row r="253" spans="2:12" ht="15" customHeight="1">
      <c r="B253" s="10">
        <v>21126</v>
      </c>
      <c r="C253" s="22" t="s">
        <v>147</v>
      </c>
      <c r="D253" s="11" t="s">
        <v>20</v>
      </c>
      <c r="E253" s="25" t="s">
        <v>685</v>
      </c>
      <c r="F253" s="36" t="str">
        <f>+_xlfn.XLOOKUP(E253,Data_Cleaning!$B$6:$B$50,Data_Cleaning!$C$6:$C$50)</f>
        <v>Barcelona​</v>
      </c>
      <c r="G253" s="36" t="str" cm="1">
        <f t="array" ref="G253">_xlfn.XLOOKUP(TRUE,ISNUMBER(SEARCH(Data_Cleaning!$F$6:$F$36,C253)),Data_Cleaning!$G$6:$G$36,"Other",0)</f>
        <v>Social Sciences and Law</v>
      </c>
      <c r="H253" s="24" t="str">
        <f>+_xlfn.XLOOKUP(G253,Data_Cleaning!$J$6:$J$11,Data_Cleaning!$K$6:$K$11)</f>
        <v>Social Sciences</v>
      </c>
      <c r="I253" s="12">
        <v>7854</v>
      </c>
      <c r="J253" s="12">
        <v>5000</v>
      </c>
      <c r="K253" s="12">
        <v>5000</v>
      </c>
      <c r="L253" s="12">
        <v>5000</v>
      </c>
    </row>
    <row r="254" spans="2:12" ht="15" customHeight="1">
      <c r="B254" s="10">
        <v>31124</v>
      </c>
      <c r="C254" s="23" t="s">
        <v>648</v>
      </c>
      <c r="D254" s="11" t="s">
        <v>58</v>
      </c>
      <c r="E254" s="25" t="s">
        <v>715</v>
      </c>
      <c r="F254" s="36" t="str">
        <f>+_xlfn.XLOOKUP(E254,Data_Cleaning!$B$6:$B$50,Data_Cleaning!$C$6:$C$50)</f>
        <v>Barcelona​</v>
      </c>
      <c r="G254" s="36" t="str" cm="1">
        <f t="array" ref="G254">_xlfn.XLOOKUP(TRUE,ISNUMBER(SEARCH(Data_Cleaning!$F$6:$F$36,C254)),Data_Cleaning!$G$6:$G$36,"Other",0)</f>
        <v>Engineering and Architecture</v>
      </c>
      <c r="H254" s="24" t="str">
        <f>+_xlfn.XLOOKUP(G254,Data_Cleaning!$J$6:$J$11,Data_Cleaning!$K$6:$K$11)</f>
        <v>Science and Technology</v>
      </c>
      <c r="I254" s="12">
        <v>7856</v>
      </c>
      <c r="J254" s="12">
        <v>5000</v>
      </c>
      <c r="K254" s="12">
        <v>5000</v>
      </c>
      <c r="L254" s="12">
        <v>5000</v>
      </c>
    </row>
    <row r="255" spans="2:12" ht="15" customHeight="1">
      <c r="B255" s="15">
        <v>81011</v>
      </c>
      <c r="C255" s="154" t="s">
        <v>134</v>
      </c>
      <c r="D255" s="14" t="s">
        <v>23</v>
      </c>
      <c r="E255" s="25" t="s">
        <v>686</v>
      </c>
      <c r="F255" s="36" t="str">
        <f>+_xlfn.XLOOKUP(E255,Data_Cleaning!$B$6:$B$50,Data_Cleaning!$C$6:$C$50)</f>
        <v>Girona​</v>
      </c>
      <c r="G255" s="36" t="s">
        <v>762</v>
      </c>
      <c r="H255" s="24" t="str">
        <f>+_xlfn.XLOOKUP(G255,Data_Cleaning!$J$6:$J$11,Data_Cleaning!$K$6:$K$11)</f>
        <v>Social Sciences</v>
      </c>
      <c r="I255" s="16">
        <v>7872</v>
      </c>
      <c r="J255" s="16">
        <v>5000</v>
      </c>
      <c r="K255" s="16">
        <v>5000</v>
      </c>
      <c r="L255" s="16">
        <v>5000</v>
      </c>
    </row>
    <row r="256" spans="2:12" ht="15" customHeight="1">
      <c r="B256" s="10">
        <v>71010</v>
      </c>
      <c r="C256" s="22" t="s">
        <v>204</v>
      </c>
      <c r="D256" s="11" t="s">
        <v>18</v>
      </c>
      <c r="E256" s="25" t="s">
        <v>696</v>
      </c>
      <c r="F256" s="36" t="str">
        <f>+_xlfn.XLOOKUP(E256,Data_Cleaning!$B$6:$B$50,Data_Cleaning!$C$6:$C$50)</f>
        <v>Tarragona​</v>
      </c>
      <c r="G256" s="36" t="str" cm="1">
        <f t="array" ref="G256">_xlfn.XLOOKUP(TRUE,ISNUMBER(SEARCH(Data_Cleaning!$F$6:$F$36,C256)),Data_Cleaning!$G$6:$G$36,"Other",0)</f>
        <v>Social Sciences and Law</v>
      </c>
      <c r="H256" s="24" t="str">
        <f>+_xlfn.XLOOKUP(G256,Data_Cleaning!$J$6:$J$11,Data_Cleaning!$K$6:$K$11)</f>
        <v>Social Sciences</v>
      </c>
      <c r="I256" s="12">
        <v>7874</v>
      </c>
      <c r="J256" s="12">
        <v>5000</v>
      </c>
      <c r="K256" s="12">
        <v>5000</v>
      </c>
      <c r="L256" s="12">
        <v>5000</v>
      </c>
    </row>
    <row r="257" spans="2:12" ht="15" customHeight="1">
      <c r="B257" s="10">
        <v>21042</v>
      </c>
      <c r="C257" s="22" t="s">
        <v>453</v>
      </c>
      <c r="D257" s="11" t="s">
        <v>20</v>
      </c>
      <c r="E257" s="25" t="s">
        <v>697</v>
      </c>
      <c r="F257" s="36" t="str">
        <f>+_xlfn.XLOOKUP(E257,Data_Cleaning!$B$6:$B$50,Data_Cleaning!$C$6:$C$50)</f>
        <v>Barcelona​</v>
      </c>
      <c r="G257" s="36" t="str" cm="1">
        <f t="array" ref="G257">_xlfn.XLOOKUP(TRUE,ISNUMBER(SEARCH(Data_Cleaning!$F$6:$F$36,C257)),Data_Cleaning!$G$6:$G$36,"Other",0)</f>
        <v>Health Sciences</v>
      </c>
      <c r="H257" s="24" t="str">
        <f>+_xlfn.XLOOKUP(G257,Data_Cleaning!$J$6:$J$11,Data_Cleaning!$K$6:$K$11)</f>
        <v>Science and Technology</v>
      </c>
      <c r="I257" s="12">
        <v>7875</v>
      </c>
      <c r="J257" s="12">
        <v>5000</v>
      </c>
      <c r="K257" s="12">
        <v>6790</v>
      </c>
      <c r="L257" s="12">
        <v>5000</v>
      </c>
    </row>
    <row r="258" spans="2:12" ht="15" customHeight="1">
      <c r="B258" s="15">
        <v>31098</v>
      </c>
      <c r="C258" s="154" t="s">
        <v>519</v>
      </c>
      <c r="D258" s="14" t="s">
        <v>58</v>
      </c>
      <c r="E258" s="25" t="s">
        <v>725</v>
      </c>
      <c r="F258" s="36" t="str">
        <f>+_xlfn.XLOOKUP(E258,Data_Cleaning!$B$6:$B$50,Data_Cleaning!$C$6:$C$50)</f>
        <v>Barcelona​</v>
      </c>
      <c r="G258" s="36" t="s">
        <v>762</v>
      </c>
      <c r="H258" s="24" t="str">
        <f>+_xlfn.XLOOKUP(G258,Data_Cleaning!$J$6:$J$11,Data_Cleaning!$K$6:$K$11)</f>
        <v>Social Sciences</v>
      </c>
      <c r="I258" s="16">
        <v>7916</v>
      </c>
      <c r="J258" s="16">
        <v>5000</v>
      </c>
      <c r="K258" s="16">
        <v>6430</v>
      </c>
      <c r="L258" s="16">
        <v>5000</v>
      </c>
    </row>
    <row r="259" spans="2:12" ht="15" customHeight="1">
      <c r="B259" s="10">
        <v>21131</v>
      </c>
      <c r="C259" s="22" t="s">
        <v>102</v>
      </c>
      <c r="D259" s="11" t="s">
        <v>20</v>
      </c>
      <c r="E259" s="25" t="s">
        <v>685</v>
      </c>
      <c r="F259" s="36" t="str">
        <f>+_xlfn.XLOOKUP(E259,Data_Cleaning!$B$6:$B$50,Data_Cleaning!$C$6:$C$50)</f>
        <v>Barcelona​</v>
      </c>
      <c r="G259" s="36" t="s">
        <v>756</v>
      </c>
      <c r="H259" s="24" t="str">
        <f>+_xlfn.XLOOKUP(G259,Data_Cleaning!$J$6:$J$11,Data_Cleaning!$K$6:$K$11)</f>
        <v>Science and Technology</v>
      </c>
      <c r="I259" s="12">
        <v>7920</v>
      </c>
      <c r="J259" s="12">
        <v>5000</v>
      </c>
      <c r="K259" s="12">
        <v>5000</v>
      </c>
      <c r="L259" s="12">
        <v>5000</v>
      </c>
    </row>
    <row r="260" spans="2:12" ht="15" customHeight="1">
      <c r="B260" s="10">
        <v>61074</v>
      </c>
      <c r="C260" s="22" t="s">
        <v>322</v>
      </c>
      <c r="D260" s="11" t="s">
        <v>25</v>
      </c>
      <c r="E260" s="25" t="s">
        <v>687</v>
      </c>
      <c r="F260" s="36" t="str">
        <f>+_xlfn.XLOOKUP(E260,Data_Cleaning!$B$6:$B$50,Data_Cleaning!$C$6:$C$50)</f>
        <v>Barcelona​</v>
      </c>
      <c r="G260" s="36" t="str" cm="1">
        <f t="array" ref="G260">_xlfn.XLOOKUP(TRUE,ISNUMBER(SEARCH(Data_Cleaning!$F$6:$F$36,C260)),Data_Cleaning!$G$6:$G$36,"Other",0)</f>
        <v>Engineering and Architecture</v>
      </c>
      <c r="H260" s="24" t="str">
        <f>+_xlfn.XLOOKUP(G260,Data_Cleaning!$J$6:$J$11,Data_Cleaning!$K$6:$K$11)</f>
        <v>Science and Technology</v>
      </c>
      <c r="I260" s="12">
        <v>7930</v>
      </c>
      <c r="J260" s="12">
        <v>5000</v>
      </c>
      <c r="K260" s="12">
        <v>5000</v>
      </c>
      <c r="L260" s="12">
        <v>5000</v>
      </c>
    </row>
    <row r="261" spans="2:12" ht="15" customHeight="1">
      <c r="B261" s="10">
        <v>81078</v>
      </c>
      <c r="C261" s="22" t="s">
        <v>432</v>
      </c>
      <c r="D261" s="11" t="s">
        <v>23</v>
      </c>
      <c r="E261" s="25" t="s">
        <v>686</v>
      </c>
      <c r="F261" s="36" t="str">
        <f>+_xlfn.XLOOKUP(E261,Data_Cleaning!$B$6:$B$50,Data_Cleaning!$C$6:$C$50)</f>
        <v>Girona​</v>
      </c>
      <c r="G261" s="36" t="str" cm="1">
        <f t="array" ref="G261">_xlfn.XLOOKUP(TRUE,ISNUMBER(SEARCH(Data_Cleaning!$F$6:$F$36,C261)),Data_Cleaning!$G$6:$G$36,"Other",0)</f>
        <v>Double Degree</v>
      </c>
      <c r="H261" s="24" t="s">
        <v>775</v>
      </c>
      <c r="I261" s="12">
        <v>7937</v>
      </c>
      <c r="J261" s="12">
        <v>5000</v>
      </c>
      <c r="K261" s="12">
        <v>5830</v>
      </c>
      <c r="L261" s="12">
        <v>5000</v>
      </c>
    </row>
    <row r="262" spans="2:12" ht="15" customHeight="1">
      <c r="B262" s="10">
        <v>11104</v>
      </c>
      <c r="C262" s="22" t="s">
        <v>431</v>
      </c>
      <c r="D262" s="11" t="s">
        <v>16</v>
      </c>
      <c r="E262" s="25" t="s">
        <v>684</v>
      </c>
      <c r="F262" s="36" t="str">
        <f>+_xlfn.XLOOKUP(E262,Data_Cleaning!$B$6:$B$50,Data_Cleaning!$C$6:$C$50)</f>
        <v>Barcelona​</v>
      </c>
      <c r="G262" s="36" t="str" cm="1">
        <f t="array" ref="G262">_xlfn.XLOOKUP(TRUE,ISNUMBER(SEARCH(Data_Cleaning!$F$6:$F$36,C262)),Data_Cleaning!$G$6:$G$36,"Other",0)</f>
        <v>Double Degree</v>
      </c>
      <c r="H262" s="24" t="s">
        <v>775</v>
      </c>
      <c r="I262" s="12">
        <v>7944</v>
      </c>
      <c r="J262" s="12">
        <v>5000</v>
      </c>
      <c r="K262" s="12">
        <v>5000</v>
      </c>
      <c r="L262" s="12">
        <v>5000</v>
      </c>
    </row>
    <row r="263" spans="2:12" ht="15" customHeight="1">
      <c r="B263" s="10">
        <v>91022</v>
      </c>
      <c r="C263" s="22" t="s">
        <v>539</v>
      </c>
      <c r="D263" s="11" t="s">
        <v>28</v>
      </c>
      <c r="E263" s="25" t="s">
        <v>692</v>
      </c>
      <c r="F263" s="36" t="str">
        <f>+_xlfn.XLOOKUP(E263,Data_Cleaning!$B$6:$B$50,Data_Cleaning!$C$6:$C$50)</f>
        <v>Barcelona​</v>
      </c>
      <c r="G263" s="36" t="str" cm="1">
        <f t="array" ref="G263">_xlfn.XLOOKUP(TRUE,ISNUMBER(SEARCH(Data_Cleaning!$F$6:$F$36,C263)),Data_Cleaning!$G$6:$G$36,"Other",0)</f>
        <v>Health Sciences</v>
      </c>
      <c r="H263" s="24" t="str">
        <f>+_xlfn.XLOOKUP(G263,Data_Cleaning!$J$6:$J$11,Data_Cleaning!$K$6:$K$11)</f>
        <v>Science and Technology</v>
      </c>
      <c r="I263" s="12">
        <v>7948</v>
      </c>
      <c r="J263" s="12">
        <v>5000</v>
      </c>
      <c r="K263" s="12">
        <v>5000</v>
      </c>
      <c r="L263" s="12">
        <v>5000</v>
      </c>
    </row>
    <row r="264" spans="2:12" ht="15" customHeight="1">
      <c r="B264" s="153">
        <v>31104</v>
      </c>
      <c r="C264" s="23" t="s">
        <v>590</v>
      </c>
      <c r="D264" s="155" t="s">
        <v>58</v>
      </c>
      <c r="E264" s="25" t="s">
        <v>689</v>
      </c>
      <c r="F264" s="36" t="str">
        <f>+_xlfn.XLOOKUP(E264,Data_Cleaning!$B$6:$B$50,Data_Cleaning!$C$6:$C$50)</f>
        <v>Barcelona​</v>
      </c>
      <c r="G264" s="36" t="str" cm="1">
        <f t="array" ref="G264">_xlfn.XLOOKUP(TRUE,ISNUMBER(SEARCH(Data_Cleaning!$F$6:$F$36,C264)),Data_Cleaning!$G$6:$G$36,"Other",0)</f>
        <v>Engineering and Architecture</v>
      </c>
      <c r="H264" s="24" t="str">
        <f>+_xlfn.XLOOKUP(G264,Data_Cleaning!$J$6:$J$11,Data_Cleaning!$K$6:$K$11)</f>
        <v>Science and Technology</v>
      </c>
      <c r="I264" s="156">
        <v>7958</v>
      </c>
      <c r="J264" s="156">
        <v>5000</v>
      </c>
      <c r="K264" s="156">
        <v>5000</v>
      </c>
      <c r="L264" s="156">
        <v>5000</v>
      </c>
    </row>
    <row r="265" spans="2:12" ht="15" customHeight="1">
      <c r="B265" s="10">
        <v>41026</v>
      </c>
      <c r="C265" s="22" t="s">
        <v>552</v>
      </c>
      <c r="D265" s="11" t="s">
        <v>11</v>
      </c>
      <c r="E265" s="25" t="s">
        <v>684</v>
      </c>
      <c r="F265" s="36" t="str">
        <f>+_xlfn.XLOOKUP(E265,Data_Cleaning!$B$6:$B$50,Data_Cleaning!$C$6:$C$50)</f>
        <v>Barcelona​</v>
      </c>
      <c r="G265" s="36" t="s">
        <v>762</v>
      </c>
      <c r="H265" s="24" t="str">
        <f>+_xlfn.XLOOKUP(G265,Data_Cleaning!$J$6:$J$11,Data_Cleaning!$K$6:$K$11)</f>
        <v>Social Sciences</v>
      </c>
      <c r="I265" s="12">
        <v>7968</v>
      </c>
      <c r="J265" s="12">
        <v>5000</v>
      </c>
      <c r="K265" s="12">
        <v>5000</v>
      </c>
      <c r="L265" s="12">
        <v>5000</v>
      </c>
    </row>
    <row r="266" spans="2:12" ht="15" customHeight="1">
      <c r="B266" s="10">
        <v>81043</v>
      </c>
      <c r="C266" s="22" t="s">
        <v>522</v>
      </c>
      <c r="D266" s="11" t="s">
        <v>23</v>
      </c>
      <c r="E266" s="25" t="s">
        <v>686</v>
      </c>
      <c r="F266" s="36" t="str">
        <f>+_xlfn.XLOOKUP(E266,Data_Cleaning!$B$6:$B$50,Data_Cleaning!$C$6:$C$50)</f>
        <v>Girona​</v>
      </c>
      <c r="G266" s="36" t="str" cm="1">
        <f t="array" ref="G266">_xlfn.XLOOKUP(TRUE,ISNUMBER(SEARCH(Data_Cleaning!$F$6:$F$36,C266)),Data_Cleaning!$G$6:$G$36,"Other",0)</f>
        <v>Social Sciences and Law</v>
      </c>
      <c r="H266" s="24" t="str">
        <f>+_xlfn.XLOOKUP(G266,Data_Cleaning!$J$6:$J$11,Data_Cleaning!$K$6:$K$11)</f>
        <v>Social Sciences</v>
      </c>
      <c r="I266" s="12">
        <v>7978</v>
      </c>
      <c r="J266" s="12">
        <v>5250</v>
      </c>
      <c r="K266" s="12">
        <v>5000</v>
      </c>
      <c r="L266" s="12">
        <v>7833</v>
      </c>
    </row>
    <row r="267" spans="2:12" ht="15" customHeight="1">
      <c r="B267" s="15">
        <v>71012</v>
      </c>
      <c r="C267" s="154" t="s">
        <v>227</v>
      </c>
      <c r="D267" s="14" t="s">
        <v>18</v>
      </c>
      <c r="E267" s="25" t="s">
        <v>696</v>
      </c>
      <c r="F267" s="36" t="str">
        <f>+_xlfn.XLOOKUP(E267,Data_Cleaning!$B$6:$B$50,Data_Cleaning!$C$6:$C$50)</f>
        <v>Tarragona​</v>
      </c>
      <c r="G267" s="36" t="str" cm="1">
        <f t="array" ref="G267">_xlfn.XLOOKUP(TRUE,ISNUMBER(SEARCH(Data_Cleaning!$F$6:$F$36,C267)),Data_Cleaning!$G$6:$G$36,"Other",0)</f>
        <v>Social Sciences and Law</v>
      </c>
      <c r="H267" s="24" t="str">
        <f>+_xlfn.XLOOKUP(G267,Data_Cleaning!$J$6:$J$11,Data_Cleaning!$K$6:$K$11)</f>
        <v>Social Sciences</v>
      </c>
      <c r="I267" s="16">
        <v>7994</v>
      </c>
      <c r="J267" s="16">
        <v>5000</v>
      </c>
      <c r="K267" s="16">
        <v>5000</v>
      </c>
      <c r="L267" s="16">
        <v>5000</v>
      </c>
    </row>
    <row r="268" spans="2:12" ht="15" customHeight="1">
      <c r="B268" s="15">
        <v>71009</v>
      </c>
      <c r="C268" s="154" t="s">
        <v>193</v>
      </c>
      <c r="D268" s="14" t="s">
        <v>18</v>
      </c>
      <c r="E268" s="25" t="s">
        <v>690</v>
      </c>
      <c r="F268" s="36" t="str">
        <f>+_xlfn.XLOOKUP(E268,Data_Cleaning!$B$6:$B$50,Data_Cleaning!$C$6:$C$50)</f>
        <v>Tarragona​</v>
      </c>
      <c r="G268" s="36" t="str" cm="1">
        <f t="array" ref="G268">_xlfn.XLOOKUP(TRUE,ISNUMBER(SEARCH(Data_Cleaning!$F$6:$F$36,C268)),Data_Cleaning!$G$6:$G$36,"Other",0)</f>
        <v>Social Sciences and Law</v>
      </c>
      <c r="H268" s="24" t="str">
        <f>+_xlfn.XLOOKUP(G268,Data_Cleaning!$J$6:$J$11,Data_Cleaning!$K$6:$K$11)</f>
        <v>Social Sciences</v>
      </c>
      <c r="I268" s="16">
        <v>8000</v>
      </c>
      <c r="J268" s="16">
        <v>5000</v>
      </c>
      <c r="K268" s="16">
        <v>5000</v>
      </c>
      <c r="L268" s="16">
        <v>5000</v>
      </c>
    </row>
    <row r="269" spans="2:12" ht="15" customHeight="1">
      <c r="B269" s="15">
        <v>11052</v>
      </c>
      <c r="C269" s="154" t="s">
        <v>420</v>
      </c>
      <c r="D269" s="14" t="s">
        <v>16</v>
      </c>
      <c r="E269" s="25" t="s">
        <v>684</v>
      </c>
      <c r="F269" s="36" t="str">
        <f>+_xlfn.XLOOKUP(E269,Data_Cleaning!$B$6:$B$50,Data_Cleaning!$C$6:$C$50)</f>
        <v>Barcelona​</v>
      </c>
      <c r="G269" s="36" t="str" cm="1">
        <f t="array" ref="G269">_xlfn.XLOOKUP(TRUE,ISNUMBER(SEARCH(Data_Cleaning!$F$6:$F$36,C269)),Data_Cleaning!$G$6:$G$36,"Other",0)</f>
        <v>Social Sciences and Law</v>
      </c>
      <c r="H269" s="24" t="str">
        <f>+_xlfn.XLOOKUP(G269,Data_Cleaning!$J$6:$J$11,Data_Cleaning!$K$6:$K$11)</f>
        <v>Social Sciences</v>
      </c>
      <c r="I269" s="16">
        <v>8026</v>
      </c>
      <c r="J269" s="16">
        <v>5000</v>
      </c>
      <c r="K269" s="16">
        <v>7140</v>
      </c>
      <c r="L269" s="16">
        <v>5000</v>
      </c>
    </row>
    <row r="270" spans="2:12" ht="15" customHeight="1">
      <c r="B270" s="10">
        <v>71044</v>
      </c>
      <c r="C270" s="22" t="s">
        <v>512</v>
      </c>
      <c r="D270" s="11" t="s">
        <v>18</v>
      </c>
      <c r="E270" s="25" t="s">
        <v>690</v>
      </c>
      <c r="F270" s="36" t="str">
        <f>+_xlfn.XLOOKUP(E270,Data_Cleaning!$B$6:$B$50,Data_Cleaning!$C$6:$C$50)</f>
        <v>Tarragona​</v>
      </c>
      <c r="G270" s="36" t="s">
        <v>768</v>
      </c>
      <c r="H270" s="24" t="str">
        <f>+_xlfn.XLOOKUP(G270,Data_Cleaning!$J$6:$J$11,Data_Cleaning!$K$6:$K$11)</f>
        <v>Science and Technology</v>
      </c>
      <c r="I270" s="12">
        <v>8033</v>
      </c>
      <c r="J270" s="12">
        <v>5000</v>
      </c>
      <c r="K270" s="12">
        <v>5000</v>
      </c>
      <c r="L270" s="12">
        <v>5000</v>
      </c>
    </row>
    <row r="271" spans="2:12" ht="15" customHeight="1">
      <c r="B271" s="10">
        <v>61010</v>
      </c>
      <c r="C271" s="22" t="s">
        <v>183</v>
      </c>
      <c r="D271" s="11" t="s">
        <v>25</v>
      </c>
      <c r="E271" s="25" t="s">
        <v>688</v>
      </c>
      <c r="F271" s="36" t="str">
        <f>+_xlfn.XLOOKUP(E271,Data_Cleaning!$B$6:$B$50,Data_Cleaning!$C$6:$C$50)</f>
        <v>Lleida​</v>
      </c>
      <c r="G271" s="36" t="str" cm="1">
        <f t="array" ref="G271">_xlfn.XLOOKUP(TRUE,ISNUMBER(SEARCH(Data_Cleaning!$F$6:$F$36,C271)),Data_Cleaning!$G$6:$G$36,"Other",0)</f>
        <v>Social Sciences and Law</v>
      </c>
      <c r="H271" s="24" t="str">
        <f>+_xlfn.XLOOKUP(G271,Data_Cleaning!$J$6:$J$11,Data_Cleaning!$K$6:$K$11)</f>
        <v>Social Sciences</v>
      </c>
      <c r="I271" s="12">
        <v>8043</v>
      </c>
      <c r="J271" s="12">
        <v>5000</v>
      </c>
      <c r="K271" s="12">
        <v>5000</v>
      </c>
      <c r="L271" s="12">
        <v>5000</v>
      </c>
    </row>
    <row r="272" spans="2:12" ht="15" customHeight="1">
      <c r="B272" s="10">
        <v>91013</v>
      </c>
      <c r="C272" s="22" t="s">
        <v>458</v>
      </c>
      <c r="D272" s="11" t="s">
        <v>28</v>
      </c>
      <c r="E272" s="25" t="s">
        <v>692</v>
      </c>
      <c r="F272" s="36" t="str">
        <f>+_xlfn.XLOOKUP(E272,Data_Cleaning!$B$6:$B$50,Data_Cleaning!$C$6:$C$50)</f>
        <v>Barcelona​</v>
      </c>
      <c r="G272" s="36" t="str" cm="1">
        <f t="array" ref="G272">_xlfn.XLOOKUP(TRUE,ISNUMBER(SEARCH(Data_Cleaning!$F$6:$F$36,C272)),Data_Cleaning!$G$6:$G$36,"Other",0)</f>
        <v>Health Sciences</v>
      </c>
      <c r="H272" s="24" t="str">
        <f>+_xlfn.XLOOKUP(G272,Data_Cleaning!$J$6:$J$11,Data_Cleaning!$K$6:$K$11)</f>
        <v>Science and Technology</v>
      </c>
      <c r="I272" s="12">
        <v>8061</v>
      </c>
      <c r="J272" s="12">
        <v>5000</v>
      </c>
      <c r="K272" s="12">
        <v>6300</v>
      </c>
      <c r="L272" s="12">
        <v>5000</v>
      </c>
    </row>
    <row r="273" spans="2:12" ht="15" customHeight="1">
      <c r="B273" s="10">
        <v>81022</v>
      </c>
      <c r="C273" s="22" t="s">
        <v>334</v>
      </c>
      <c r="D273" s="11" t="s">
        <v>23</v>
      </c>
      <c r="E273" s="25" t="s">
        <v>686</v>
      </c>
      <c r="F273" s="36" t="str">
        <f>+_xlfn.XLOOKUP(E273,Data_Cleaning!$B$6:$B$50,Data_Cleaning!$C$6:$C$50)</f>
        <v>Girona​</v>
      </c>
      <c r="G273" s="36" t="str" cm="1">
        <f t="array" ref="G273">_xlfn.XLOOKUP(TRUE,ISNUMBER(SEARCH(Data_Cleaning!$F$6:$F$36,C273)),Data_Cleaning!$G$6:$G$36,"Other",0)</f>
        <v>Engineering and Architecture</v>
      </c>
      <c r="H273" s="24" t="str">
        <f>+_xlfn.XLOOKUP(G273,Data_Cleaning!$J$6:$J$11,Data_Cleaning!$K$6:$K$11)</f>
        <v>Science and Technology</v>
      </c>
      <c r="I273" s="12">
        <v>8077</v>
      </c>
      <c r="J273" s="12">
        <v>5000</v>
      </c>
      <c r="K273" s="12">
        <v>5000</v>
      </c>
      <c r="L273" s="12">
        <v>5000</v>
      </c>
    </row>
    <row r="274" spans="2:12" ht="15" customHeight="1">
      <c r="B274" s="10">
        <v>81069</v>
      </c>
      <c r="C274" s="22" t="s">
        <v>196</v>
      </c>
      <c r="D274" s="11" t="s">
        <v>23</v>
      </c>
      <c r="E274" s="25" t="s">
        <v>686</v>
      </c>
      <c r="F274" s="36" t="str">
        <f>+_xlfn.XLOOKUP(E274,Data_Cleaning!$B$6:$B$50,Data_Cleaning!$C$6:$C$50)</f>
        <v>Girona​</v>
      </c>
      <c r="G274" s="36" t="str" cm="1">
        <f t="array" ref="G274">_xlfn.XLOOKUP(TRUE,ISNUMBER(SEARCH(Data_Cleaning!$F$6:$F$36,C274)),Data_Cleaning!$G$6:$G$36,"Other",0)</f>
        <v>Double Degree</v>
      </c>
      <c r="H274" s="24" t="s">
        <v>795</v>
      </c>
      <c r="I274" s="12">
        <v>8086</v>
      </c>
      <c r="J274" s="12">
        <v>5000</v>
      </c>
      <c r="K274" s="12">
        <v>5000</v>
      </c>
      <c r="L274" s="12">
        <v>5000</v>
      </c>
    </row>
    <row r="275" spans="2:12" ht="15" customHeight="1">
      <c r="B275" s="10">
        <v>21151</v>
      </c>
      <c r="C275" s="22" t="s">
        <v>106</v>
      </c>
      <c r="D275" s="11" t="s">
        <v>20</v>
      </c>
      <c r="E275" s="25" t="s">
        <v>685</v>
      </c>
      <c r="F275" s="36" t="str">
        <f>+_xlfn.XLOOKUP(E275,Data_Cleaning!$B$6:$B$50,Data_Cleaning!$C$6:$C$50)</f>
        <v>Barcelona​</v>
      </c>
      <c r="G275" s="36" t="str" cm="1">
        <f t="array" ref="G275">_xlfn.XLOOKUP(TRUE,ISNUMBER(SEARCH(Data_Cleaning!$F$6:$F$36,C275)),Data_Cleaning!$G$6:$G$36,"Other",0)</f>
        <v>Double Degree</v>
      </c>
      <c r="H275" s="24" t="s">
        <v>794</v>
      </c>
      <c r="I275" s="12">
        <v>8096</v>
      </c>
      <c r="J275" s="12">
        <v>5000</v>
      </c>
      <c r="K275" s="12">
        <v>5000</v>
      </c>
      <c r="L275" s="12">
        <v>5000</v>
      </c>
    </row>
    <row r="276" spans="2:12" ht="15" customHeight="1">
      <c r="B276" s="10">
        <v>61015</v>
      </c>
      <c r="C276" s="22" t="s">
        <v>323</v>
      </c>
      <c r="D276" s="11" t="s">
        <v>25</v>
      </c>
      <c r="E276" s="25" t="s">
        <v>688</v>
      </c>
      <c r="F276" s="36" t="str">
        <f>+_xlfn.XLOOKUP(E276,Data_Cleaning!$B$6:$B$50,Data_Cleaning!$C$6:$C$50)</f>
        <v>Lleida​</v>
      </c>
      <c r="G276" s="36" t="str" cm="1">
        <f t="array" ref="G276">_xlfn.XLOOKUP(TRUE,ISNUMBER(SEARCH(Data_Cleaning!$F$6:$F$36,C276)),Data_Cleaning!$G$6:$G$36,"Other",0)</f>
        <v>Engineering and Architecture</v>
      </c>
      <c r="H276" s="24" t="str">
        <f>+_xlfn.XLOOKUP(G276,Data_Cleaning!$J$6:$J$11,Data_Cleaning!$K$6:$K$11)</f>
        <v>Science and Technology</v>
      </c>
      <c r="I276" s="12">
        <v>8102</v>
      </c>
      <c r="J276" s="12">
        <v>5000</v>
      </c>
      <c r="K276" s="12">
        <v>5000</v>
      </c>
      <c r="L276" s="12">
        <v>5000</v>
      </c>
    </row>
    <row r="277" spans="2:12" ht="15" customHeight="1">
      <c r="B277" s="10">
        <v>91043</v>
      </c>
      <c r="C277" s="22" t="s">
        <v>450</v>
      </c>
      <c r="D277" s="11" t="s">
        <v>28</v>
      </c>
      <c r="E277" s="25" t="s">
        <v>689</v>
      </c>
      <c r="F277" s="36" t="str">
        <f>+_xlfn.XLOOKUP(E277,Data_Cleaning!$B$6:$B$50,Data_Cleaning!$C$6:$C$50)</f>
        <v>Barcelona​</v>
      </c>
      <c r="G277" s="36" t="str" cm="1">
        <f t="array" ref="G277">_xlfn.XLOOKUP(TRUE,ISNUMBER(SEARCH(Data_Cleaning!$F$6:$F$36,C277)),Data_Cleaning!$G$6:$G$36,"Other",0)</f>
        <v>Health Sciences</v>
      </c>
      <c r="H277" s="24" t="str">
        <f>+_xlfn.XLOOKUP(G277,Data_Cleaning!$J$6:$J$11,Data_Cleaning!$K$6:$K$11)</f>
        <v>Science and Technology</v>
      </c>
      <c r="I277" s="12">
        <v>8106</v>
      </c>
      <c r="J277" s="12">
        <v>5000</v>
      </c>
      <c r="K277" s="12">
        <v>6860</v>
      </c>
      <c r="L277" s="12">
        <v>5000</v>
      </c>
    </row>
    <row r="278" spans="2:12" ht="15" customHeight="1">
      <c r="B278" s="10">
        <v>71040</v>
      </c>
      <c r="C278" s="22" t="s">
        <v>335</v>
      </c>
      <c r="D278" s="11" t="s">
        <v>18</v>
      </c>
      <c r="E278" s="25" t="s">
        <v>696</v>
      </c>
      <c r="F278" s="36" t="str">
        <f>+_xlfn.XLOOKUP(E278,Data_Cleaning!$B$6:$B$50,Data_Cleaning!$C$6:$C$50)</f>
        <v>Tarragona​</v>
      </c>
      <c r="G278" s="36" t="str" cm="1">
        <f t="array" ref="G278">_xlfn.XLOOKUP(TRUE,ISNUMBER(SEARCH(Data_Cleaning!$F$6:$F$36,C278)),Data_Cleaning!$G$6:$G$36,"Other",0)</f>
        <v>Engineering and Architecture</v>
      </c>
      <c r="H278" s="24" t="str">
        <f>+_xlfn.XLOOKUP(G278,Data_Cleaning!$J$6:$J$11,Data_Cleaning!$K$6:$K$11)</f>
        <v>Science and Technology</v>
      </c>
      <c r="I278" s="12">
        <v>8120</v>
      </c>
      <c r="J278" s="12">
        <v>5000</v>
      </c>
      <c r="K278" s="12">
        <v>5000</v>
      </c>
      <c r="L278" s="12">
        <v>5000</v>
      </c>
    </row>
    <row r="279" spans="2:12" ht="15" customHeight="1">
      <c r="B279" s="10">
        <v>41072</v>
      </c>
      <c r="C279" s="22" t="s">
        <v>242</v>
      </c>
      <c r="D279" s="11" t="s">
        <v>11</v>
      </c>
      <c r="E279" s="25" t="s">
        <v>684</v>
      </c>
      <c r="F279" s="36" t="str">
        <f>+_xlfn.XLOOKUP(E279,Data_Cleaning!$B$6:$B$50,Data_Cleaning!$C$6:$C$50)</f>
        <v>Barcelona​</v>
      </c>
      <c r="G279" s="36" t="str" cm="1">
        <f t="array" ref="G279">_xlfn.XLOOKUP(TRUE,ISNUMBER(SEARCH(Data_Cleaning!$F$6:$F$36,C279)),Data_Cleaning!$G$6:$G$36,"Other",0)</f>
        <v>Engineering and Architecture</v>
      </c>
      <c r="H279" s="24" t="str">
        <f>+_xlfn.XLOOKUP(G279,Data_Cleaning!$J$6:$J$11,Data_Cleaning!$K$6:$K$11)</f>
        <v>Science and Technology</v>
      </c>
      <c r="I279" s="12">
        <v>8163</v>
      </c>
      <c r="J279" s="12">
        <v>5000</v>
      </c>
      <c r="K279" s="12">
        <v>7760</v>
      </c>
      <c r="L279" s="12">
        <v>5000</v>
      </c>
    </row>
    <row r="280" spans="2:12" ht="15" customHeight="1">
      <c r="B280" s="10">
        <v>11116</v>
      </c>
      <c r="C280" s="23" t="s">
        <v>682</v>
      </c>
      <c r="D280" s="11" t="s">
        <v>16</v>
      </c>
      <c r="E280" s="25" t="s">
        <v>684</v>
      </c>
      <c r="F280" s="36" t="str">
        <f>+_xlfn.XLOOKUP(E280,Data_Cleaning!$B$6:$B$50,Data_Cleaning!$C$6:$C$50)</f>
        <v>Barcelona​</v>
      </c>
      <c r="G280" s="36" t="s">
        <v>762</v>
      </c>
      <c r="H280" s="24" t="str">
        <f>+_xlfn.XLOOKUP(G280,Data_Cleaning!$J$6:$J$11,Data_Cleaning!$K$6:$K$11)</f>
        <v>Social Sciences</v>
      </c>
      <c r="I280" s="12">
        <v>8176</v>
      </c>
      <c r="J280" s="12">
        <v>5000</v>
      </c>
      <c r="K280" s="12">
        <v>5000</v>
      </c>
      <c r="L280" s="12">
        <v>5000</v>
      </c>
    </row>
    <row r="281" spans="2:12" ht="15" customHeight="1">
      <c r="B281" s="10">
        <v>81023</v>
      </c>
      <c r="C281" s="22" t="s">
        <v>340</v>
      </c>
      <c r="D281" s="11" t="s">
        <v>23</v>
      </c>
      <c r="E281" s="25" t="s">
        <v>686</v>
      </c>
      <c r="F281" s="36" t="str">
        <f>+_xlfn.XLOOKUP(E281,Data_Cleaning!$B$6:$B$50,Data_Cleaning!$C$6:$C$50)</f>
        <v>Girona​</v>
      </c>
      <c r="G281" s="36" t="str" cm="1">
        <f t="array" ref="G281">_xlfn.XLOOKUP(TRUE,ISNUMBER(SEARCH(Data_Cleaning!$F$6:$F$36,C281)),Data_Cleaning!$G$6:$G$36,"Other",0)</f>
        <v>Engineering and Architecture</v>
      </c>
      <c r="H281" s="24" t="str">
        <f>+_xlfn.XLOOKUP(G281,Data_Cleaning!$J$6:$J$11,Data_Cleaning!$K$6:$K$11)</f>
        <v>Science and Technology</v>
      </c>
      <c r="I281" s="12">
        <v>8178</v>
      </c>
      <c r="J281" s="12">
        <v>5000</v>
      </c>
      <c r="K281" s="12">
        <v>5000</v>
      </c>
      <c r="L281" s="12">
        <v>5000</v>
      </c>
    </row>
    <row r="282" spans="2:12" ht="15" customHeight="1">
      <c r="B282" s="10">
        <v>61031</v>
      </c>
      <c r="C282" s="22" t="s">
        <v>510</v>
      </c>
      <c r="D282" s="11" t="s">
        <v>25</v>
      </c>
      <c r="E282" s="25" t="s">
        <v>688</v>
      </c>
      <c r="F282" s="36" t="str">
        <f>+_xlfn.XLOOKUP(E282,Data_Cleaning!$B$6:$B$50,Data_Cleaning!$C$6:$C$50)</f>
        <v>Lleida​</v>
      </c>
      <c r="G282" s="36" t="s">
        <v>768</v>
      </c>
      <c r="H282" s="24" t="str">
        <f>+_xlfn.XLOOKUP(G282,Data_Cleaning!$J$6:$J$11,Data_Cleaning!$K$6:$K$11)</f>
        <v>Science and Technology</v>
      </c>
      <c r="I282" s="12">
        <v>8199</v>
      </c>
      <c r="J282" s="12">
        <v>5000</v>
      </c>
      <c r="K282" s="12">
        <v>7150</v>
      </c>
      <c r="L282" s="12">
        <v>5000</v>
      </c>
    </row>
    <row r="283" spans="2:12" ht="15" customHeight="1">
      <c r="B283" s="10">
        <v>21115</v>
      </c>
      <c r="C283" s="23" t="s">
        <v>641</v>
      </c>
      <c r="D283" s="11" t="s">
        <v>20</v>
      </c>
      <c r="E283" s="25" t="s">
        <v>685</v>
      </c>
      <c r="F283" s="36" t="str">
        <f>+_xlfn.XLOOKUP(E283,Data_Cleaning!$B$6:$B$50,Data_Cleaning!$C$6:$C$50)</f>
        <v>Barcelona​</v>
      </c>
      <c r="G283" s="36" t="str" cm="1">
        <f t="array" ref="G283">_xlfn.XLOOKUP(TRUE,ISNUMBER(SEARCH(Data_Cleaning!$F$6:$F$36,C283)),Data_Cleaning!$G$6:$G$36,"Other",0)</f>
        <v>Engineering and Architecture</v>
      </c>
      <c r="H283" s="24" t="str">
        <f>+_xlfn.XLOOKUP(G283,Data_Cleaning!$J$6:$J$11,Data_Cleaning!$K$6:$K$11)</f>
        <v>Science and Technology</v>
      </c>
      <c r="I283" s="12">
        <v>8203</v>
      </c>
      <c r="J283" s="12">
        <v>5000</v>
      </c>
      <c r="K283" s="12">
        <v>5000</v>
      </c>
      <c r="L283" s="12">
        <v>5000</v>
      </c>
    </row>
    <row r="284" spans="2:12" ht="15" customHeight="1">
      <c r="B284" s="10">
        <v>11045</v>
      </c>
      <c r="C284" s="22" t="s">
        <v>520</v>
      </c>
      <c r="D284" s="11" t="s">
        <v>16</v>
      </c>
      <c r="E284" s="25" t="s">
        <v>684</v>
      </c>
      <c r="F284" s="36" t="str">
        <f>+_xlfn.XLOOKUP(E284,Data_Cleaning!$B$6:$B$50,Data_Cleaning!$C$6:$C$50)</f>
        <v>Barcelona​</v>
      </c>
      <c r="G284" s="36" t="str" cm="1">
        <f t="array" ref="G284">_xlfn.XLOOKUP(TRUE,ISNUMBER(SEARCH(Data_Cleaning!$F$6:$F$36,C284)),Data_Cleaning!$G$6:$G$36,"Other",0)</f>
        <v>Social Sciences and Law</v>
      </c>
      <c r="H284" s="24" t="str">
        <f>+_xlfn.XLOOKUP(G284,Data_Cleaning!$J$6:$J$11,Data_Cleaning!$K$6:$K$11)</f>
        <v>Social Sciences</v>
      </c>
      <c r="I284" s="12">
        <v>8213</v>
      </c>
      <c r="J284" s="12">
        <v>5000</v>
      </c>
      <c r="K284" s="12">
        <v>5000</v>
      </c>
      <c r="L284" s="12">
        <v>5000</v>
      </c>
    </row>
    <row r="285" spans="2:12" ht="15" customHeight="1">
      <c r="B285" s="10">
        <v>61069</v>
      </c>
      <c r="C285" s="22" t="s">
        <v>24</v>
      </c>
      <c r="D285" s="11" t="s">
        <v>25</v>
      </c>
      <c r="E285" s="25" t="s">
        <v>687</v>
      </c>
      <c r="F285" s="36" t="str">
        <f>+_xlfn.XLOOKUP(E285,Data_Cleaning!$B$6:$B$50,Data_Cleaning!$C$6:$C$50)</f>
        <v>Barcelona​</v>
      </c>
      <c r="G285" s="36" t="str" cm="1">
        <f t="array" ref="G285">_xlfn.XLOOKUP(TRUE,ISNUMBER(SEARCH(Data_Cleaning!$F$6:$F$36,C285)),Data_Cleaning!$G$6:$G$36,"Other",0)</f>
        <v>Social Sciences and Law</v>
      </c>
      <c r="H285" s="24" t="str">
        <f>+_xlfn.XLOOKUP(G285,Data_Cleaning!$J$6:$J$11,Data_Cleaning!$K$6:$K$11)</f>
        <v>Social Sciences</v>
      </c>
      <c r="I285" s="12">
        <v>8224</v>
      </c>
      <c r="J285" s="12">
        <v>5000</v>
      </c>
      <c r="K285" s="12">
        <v>5000</v>
      </c>
      <c r="L285" s="12">
        <v>5000</v>
      </c>
    </row>
    <row r="286" spans="2:12" ht="15" customHeight="1">
      <c r="B286" s="10">
        <v>41038</v>
      </c>
      <c r="C286" s="22" t="s">
        <v>116</v>
      </c>
      <c r="D286" s="11" t="s">
        <v>11</v>
      </c>
      <c r="E286" s="25" t="s">
        <v>683</v>
      </c>
      <c r="F286" s="36" t="str">
        <f>+_xlfn.XLOOKUP(E286,Data_Cleaning!$B$6:$B$50,Data_Cleaning!$C$6:$C$50)</f>
        <v>Barcelona​</v>
      </c>
      <c r="G286" s="36" t="str" cm="1">
        <f t="array" ref="G286">_xlfn.XLOOKUP(TRUE,ISNUMBER(SEARCH(Data_Cleaning!$F$6:$F$36,C286)),Data_Cleaning!$G$6:$G$36,"Other",0)</f>
        <v>Sciences</v>
      </c>
      <c r="H286" s="24" t="str">
        <f>+_xlfn.XLOOKUP(G286,Data_Cleaning!$J$6:$J$11,Data_Cleaning!$K$6:$K$11)</f>
        <v>Science and Technology</v>
      </c>
      <c r="I286" s="12">
        <v>8245</v>
      </c>
      <c r="J286" s="12">
        <v>5000</v>
      </c>
      <c r="K286" s="12">
        <v>5000</v>
      </c>
      <c r="L286" s="12">
        <v>5000</v>
      </c>
    </row>
    <row r="287" spans="2:12" ht="15" customHeight="1">
      <c r="B287" s="10">
        <v>21102</v>
      </c>
      <c r="C287" s="22" t="s">
        <v>216</v>
      </c>
      <c r="D287" s="11" t="s">
        <v>20</v>
      </c>
      <c r="E287" s="25" t="s">
        <v>685</v>
      </c>
      <c r="F287" s="36" t="str">
        <f>+_xlfn.XLOOKUP(E287,Data_Cleaning!$B$6:$B$50,Data_Cleaning!$C$6:$C$50)</f>
        <v>Barcelona​</v>
      </c>
      <c r="G287" s="36" t="str" cm="1">
        <f t="array" ref="G287">_xlfn.XLOOKUP(TRUE,ISNUMBER(SEARCH(Data_Cleaning!$F$6:$F$36,C287)),Data_Cleaning!$G$6:$G$36,"Other",0)</f>
        <v>Social Sciences and Law</v>
      </c>
      <c r="H287" s="24" t="str">
        <f>+_xlfn.XLOOKUP(G287,Data_Cleaning!$J$6:$J$11,Data_Cleaning!$K$6:$K$11)</f>
        <v>Social Sciences</v>
      </c>
      <c r="I287" s="12">
        <v>8248</v>
      </c>
      <c r="J287" s="12">
        <v>5000</v>
      </c>
      <c r="K287" s="12">
        <v>5000</v>
      </c>
      <c r="L287" s="12">
        <v>5000</v>
      </c>
    </row>
    <row r="288" spans="2:12" ht="15" customHeight="1">
      <c r="B288" s="10">
        <v>81017</v>
      </c>
      <c r="C288" s="22" t="s">
        <v>201</v>
      </c>
      <c r="D288" s="11" t="s">
        <v>23</v>
      </c>
      <c r="E288" s="25" t="s">
        <v>686</v>
      </c>
      <c r="F288" s="36" t="str">
        <f>+_xlfn.XLOOKUP(E288,Data_Cleaning!$B$6:$B$50,Data_Cleaning!$C$6:$C$50)</f>
        <v>Girona​</v>
      </c>
      <c r="G288" s="36" t="str" cm="1">
        <f t="array" ref="G288">_xlfn.XLOOKUP(TRUE,ISNUMBER(SEARCH(Data_Cleaning!$F$6:$F$36,C288)),Data_Cleaning!$G$6:$G$36,"Other",0)</f>
        <v>Social Sciences and Law</v>
      </c>
      <c r="H288" s="24" t="str">
        <f>+_xlfn.XLOOKUP(G288,Data_Cleaning!$J$6:$J$11,Data_Cleaning!$K$6:$K$11)</f>
        <v>Social Sciences</v>
      </c>
      <c r="I288" s="12">
        <v>8270</v>
      </c>
      <c r="J288" s="12">
        <v>5000</v>
      </c>
      <c r="K288" s="12">
        <v>5000</v>
      </c>
      <c r="L288" s="12">
        <v>5000</v>
      </c>
    </row>
    <row r="289" spans="2:12" ht="15" customHeight="1">
      <c r="B289" s="10">
        <v>21041</v>
      </c>
      <c r="C289" s="22" t="s">
        <v>455</v>
      </c>
      <c r="D289" s="11" t="s">
        <v>20</v>
      </c>
      <c r="E289" s="25" t="s">
        <v>706</v>
      </c>
      <c r="F289" s="36" t="str">
        <f>+_xlfn.XLOOKUP(E289,Data_Cleaning!$B$6:$B$50,Data_Cleaning!$C$6:$C$50)</f>
        <v>Barcelona​</v>
      </c>
      <c r="G289" s="36" t="str" cm="1">
        <f t="array" ref="G289">_xlfn.XLOOKUP(TRUE,ISNUMBER(SEARCH(Data_Cleaning!$F$6:$F$36,C289)),Data_Cleaning!$G$6:$G$36,"Other",0)</f>
        <v>Health Sciences</v>
      </c>
      <c r="H289" s="24" t="str">
        <f>+_xlfn.XLOOKUP(G289,Data_Cleaning!$J$6:$J$11,Data_Cleaning!$K$6:$K$11)</f>
        <v>Science and Technology</v>
      </c>
      <c r="I289" s="12">
        <v>8298</v>
      </c>
      <c r="J289" s="12">
        <v>5500</v>
      </c>
      <c r="K289" s="12">
        <v>7309</v>
      </c>
      <c r="L289" s="12">
        <v>5000</v>
      </c>
    </row>
    <row r="290" spans="2:12" ht="15" customHeight="1">
      <c r="B290" s="10">
        <v>11109</v>
      </c>
      <c r="C290" s="22" t="s">
        <v>92</v>
      </c>
      <c r="D290" s="11" t="s">
        <v>16</v>
      </c>
      <c r="E290" s="25" t="s">
        <v>684</v>
      </c>
      <c r="F290" s="36" t="str">
        <f>+_xlfn.XLOOKUP(E290,Data_Cleaning!$B$6:$B$50,Data_Cleaning!$C$6:$C$50)</f>
        <v>Barcelona​</v>
      </c>
      <c r="G290" s="36" t="s">
        <v>753</v>
      </c>
      <c r="H290" s="24" t="str">
        <f>+_xlfn.XLOOKUP(G290,Data_Cleaning!$J$6:$J$11,Data_Cleaning!$K$6:$K$11)</f>
        <v>Science and Technology</v>
      </c>
      <c r="I290" s="12">
        <v>8299</v>
      </c>
      <c r="J290" s="12">
        <v>5000</v>
      </c>
      <c r="K290" s="12">
        <v>5000</v>
      </c>
      <c r="L290" s="12">
        <v>5000</v>
      </c>
    </row>
    <row r="291" spans="2:12" ht="15" customHeight="1">
      <c r="B291" s="10">
        <v>31045</v>
      </c>
      <c r="C291" s="22" t="s">
        <v>505</v>
      </c>
      <c r="D291" s="11" t="s">
        <v>58</v>
      </c>
      <c r="E291" s="25" t="s">
        <v>684</v>
      </c>
      <c r="F291" s="36" t="str">
        <f>+_xlfn.XLOOKUP(E291,Data_Cleaning!$B$6:$B$50,Data_Cleaning!$C$6:$C$50)</f>
        <v>Barcelona​</v>
      </c>
      <c r="G291" s="36" t="s">
        <v>753</v>
      </c>
      <c r="H291" s="24" t="str">
        <f>+_xlfn.XLOOKUP(G291,Data_Cleaning!$J$6:$J$11,Data_Cleaning!$K$6:$K$11)</f>
        <v>Science and Technology</v>
      </c>
      <c r="I291" s="12">
        <v>8300</v>
      </c>
      <c r="J291" s="12">
        <v>5000</v>
      </c>
      <c r="K291" s="12">
        <v>6170</v>
      </c>
      <c r="L291" s="12">
        <v>5000</v>
      </c>
    </row>
    <row r="292" spans="2:12" ht="15" customHeight="1">
      <c r="B292" s="10">
        <v>11015</v>
      </c>
      <c r="C292" s="22" t="s">
        <v>223</v>
      </c>
      <c r="D292" s="11" t="s">
        <v>16</v>
      </c>
      <c r="E292" s="25" t="s">
        <v>684</v>
      </c>
      <c r="F292" s="36" t="str">
        <f>+_xlfn.XLOOKUP(E292,Data_Cleaning!$B$6:$B$50,Data_Cleaning!$C$6:$C$50)</f>
        <v>Barcelona​</v>
      </c>
      <c r="G292" s="36" t="str" cm="1">
        <f t="array" ref="G292">_xlfn.XLOOKUP(TRUE,ISNUMBER(SEARCH(Data_Cleaning!$F$6:$F$36,C292)),Data_Cleaning!$G$6:$G$36,"Other",0)</f>
        <v>Social Sciences and Law</v>
      </c>
      <c r="H292" s="24" t="str">
        <f>+_xlfn.XLOOKUP(G292,Data_Cleaning!$J$6:$J$11,Data_Cleaning!$K$6:$K$11)</f>
        <v>Social Sciences</v>
      </c>
      <c r="I292" s="12">
        <v>8319</v>
      </c>
      <c r="J292" s="12">
        <v>5000</v>
      </c>
      <c r="K292" s="12">
        <v>5000</v>
      </c>
      <c r="L292" s="12">
        <v>5500</v>
      </c>
    </row>
    <row r="293" spans="2:12" ht="15" customHeight="1">
      <c r="B293" s="10">
        <v>41037</v>
      </c>
      <c r="C293" s="23" t="s">
        <v>611</v>
      </c>
      <c r="D293" s="11" t="s">
        <v>11</v>
      </c>
      <c r="E293" s="25" t="s">
        <v>683</v>
      </c>
      <c r="F293" s="36" t="str">
        <f>+_xlfn.XLOOKUP(E293,Data_Cleaning!$B$6:$B$50,Data_Cleaning!$C$6:$C$50)</f>
        <v>Barcelona​</v>
      </c>
      <c r="G293" s="36" t="str" cm="1">
        <f t="array" ref="G293">_xlfn.XLOOKUP(TRUE,ISNUMBER(SEARCH(Data_Cleaning!$F$6:$F$36,C293)),Data_Cleaning!$G$6:$G$36,"Other",0)</f>
        <v>Double Degree</v>
      </c>
      <c r="H293" s="24" t="s">
        <v>794</v>
      </c>
      <c r="I293" s="12">
        <v>8346</v>
      </c>
      <c r="J293" s="12">
        <v>5000</v>
      </c>
      <c r="K293" s="12">
        <v>5000</v>
      </c>
      <c r="L293" s="12">
        <v>5000</v>
      </c>
    </row>
    <row r="294" spans="2:12" ht="15" customHeight="1">
      <c r="B294" s="10">
        <v>71020</v>
      </c>
      <c r="C294" s="22" t="s">
        <v>523</v>
      </c>
      <c r="D294" s="11" t="s">
        <v>18</v>
      </c>
      <c r="E294" s="25" t="s">
        <v>696</v>
      </c>
      <c r="F294" s="36" t="str">
        <f>+_xlfn.XLOOKUP(E294,Data_Cleaning!$B$6:$B$50,Data_Cleaning!$C$6:$C$50)</f>
        <v>Tarragona​</v>
      </c>
      <c r="G294" s="36" t="str" cm="1">
        <f t="array" ref="G294">_xlfn.XLOOKUP(TRUE,ISNUMBER(SEARCH(Data_Cleaning!$F$6:$F$36,C294)),Data_Cleaning!$G$6:$G$36,"Other",0)</f>
        <v>Social Sciences and Law</v>
      </c>
      <c r="H294" s="24" t="str">
        <f>+_xlfn.XLOOKUP(G294,Data_Cleaning!$J$6:$J$11,Data_Cleaning!$K$6:$K$11)</f>
        <v>Social Sciences</v>
      </c>
      <c r="I294" s="12">
        <v>8355</v>
      </c>
      <c r="J294" s="12">
        <v>5313</v>
      </c>
      <c r="K294" s="12">
        <v>6690</v>
      </c>
      <c r="L294" s="12">
        <v>5000</v>
      </c>
    </row>
    <row r="295" spans="2:12" ht="15" customHeight="1">
      <c r="B295" s="10">
        <v>71066</v>
      </c>
      <c r="C295" s="22" t="s">
        <v>550</v>
      </c>
      <c r="D295" s="11" t="s">
        <v>18</v>
      </c>
      <c r="E295" s="25" t="s">
        <v>696</v>
      </c>
      <c r="F295" s="36" t="str">
        <f>+_xlfn.XLOOKUP(E295,Data_Cleaning!$B$6:$B$50,Data_Cleaning!$C$6:$C$50)</f>
        <v>Tarragona​</v>
      </c>
      <c r="G295" s="36" t="str" cm="1">
        <f t="array" ref="G295">_xlfn.XLOOKUP(TRUE,ISNUMBER(SEARCH(Data_Cleaning!$F$6:$F$36,C295)),Data_Cleaning!$G$6:$G$36,"Other",0)</f>
        <v>Sciences</v>
      </c>
      <c r="H295" s="24" t="str">
        <f>+_xlfn.XLOOKUP(G295,Data_Cleaning!$J$6:$J$11,Data_Cleaning!$K$6:$K$11)</f>
        <v>Science and Technology</v>
      </c>
      <c r="I295" s="12">
        <v>8370</v>
      </c>
      <c r="J295" s="12">
        <v>5000</v>
      </c>
      <c r="K295" s="12">
        <v>5000</v>
      </c>
      <c r="L295" s="12">
        <v>5000</v>
      </c>
    </row>
    <row r="296" spans="2:12" ht="15" customHeight="1">
      <c r="B296" s="10">
        <v>31105</v>
      </c>
      <c r="C296" s="22" t="s">
        <v>518</v>
      </c>
      <c r="D296" s="11" t="s">
        <v>58</v>
      </c>
      <c r="E296" s="25" t="s">
        <v>706</v>
      </c>
      <c r="F296" s="36" t="str">
        <f>+_xlfn.XLOOKUP(E296,Data_Cleaning!$B$6:$B$50,Data_Cleaning!$C$6:$C$50)</f>
        <v>Barcelona​</v>
      </c>
      <c r="G296" s="36" t="s">
        <v>768</v>
      </c>
      <c r="H296" s="24" t="str">
        <f>+_xlfn.XLOOKUP(G296,Data_Cleaning!$J$6:$J$11,Data_Cleaning!$K$6:$K$11)</f>
        <v>Science and Technology</v>
      </c>
      <c r="I296" s="12">
        <v>8388</v>
      </c>
      <c r="J296" s="12">
        <v>5000</v>
      </c>
      <c r="K296" s="12">
        <v>5000</v>
      </c>
      <c r="L296" s="12">
        <v>5000</v>
      </c>
    </row>
    <row r="297" spans="2:12" ht="15" customHeight="1">
      <c r="B297" s="10">
        <v>61064</v>
      </c>
      <c r="C297" s="22" t="s">
        <v>166</v>
      </c>
      <c r="D297" s="11" t="s">
        <v>25</v>
      </c>
      <c r="E297" s="25" t="s">
        <v>688</v>
      </c>
      <c r="F297" s="36" t="str">
        <f>+_xlfn.XLOOKUP(E297,Data_Cleaning!$B$6:$B$50,Data_Cleaning!$C$6:$C$50)</f>
        <v>Lleida​</v>
      </c>
      <c r="G297" s="36" t="s">
        <v>775</v>
      </c>
      <c r="H297" s="24" t="str">
        <f>+_xlfn.XLOOKUP(G297,Data_Cleaning!$J$6:$J$11,Data_Cleaning!$K$6:$K$11)</f>
        <v>Arts and Humanities</v>
      </c>
      <c r="I297" s="12">
        <v>8398</v>
      </c>
      <c r="J297" s="12">
        <v>5000</v>
      </c>
      <c r="K297" s="12">
        <v>5000</v>
      </c>
      <c r="L297" s="12">
        <v>5000</v>
      </c>
    </row>
    <row r="298" spans="2:12" ht="15" customHeight="1">
      <c r="B298" s="10">
        <v>11093</v>
      </c>
      <c r="C298" s="22" t="s">
        <v>545</v>
      </c>
      <c r="D298" s="11" t="s">
        <v>16</v>
      </c>
      <c r="E298" s="25" t="s">
        <v>684</v>
      </c>
      <c r="F298" s="36" t="str">
        <f>+_xlfn.XLOOKUP(E298,Data_Cleaning!$B$6:$B$50,Data_Cleaning!$C$6:$C$50)</f>
        <v>Barcelona​</v>
      </c>
      <c r="G298" s="36" t="str" cm="1">
        <f t="array" ref="G298">_xlfn.XLOOKUP(TRUE,ISNUMBER(SEARCH(Data_Cleaning!$F$6:$F$36,C298)),Data_Cleaning!$G$6:$G$36,"Other",0)</f>
        <v>Social Sciences and Law</v>
      </c>
      <c r="H298" s="24" t="str">
        <f>+_xlfn.XLOOKUP(G298,Data_Cleaning!$J$6:$J$11,Data_Cleaning!$K$6:$K$11)</f>
        <v>Social Sciences</v>
      </c>
      <c r="I298" s="12">
        <v>8404</v>
      </c>
      <c r="J298" s="12">
        <v>5000</v>
      </c>
      <c r="K298" s="12">
        <v>5000</v>
      </c>
      <c r="L298" s="12">
        <v>5000</v>
      </c>
    </row>
    <row r="299" spans="2:12" ht="15" customHeight="1">
      <c r="B299" s="10">
        <v>71002</v>
      </c>
      <c r="C299" s="22" t="s">
        <v>29</v>
      </c>
      <c r="D299" s="11" t="s">
        <v>18</v>
      </c>
      <c r="E299" s="25" t="s">
        <v>690</v>
      </c>
      <c r="F299" s="36" t="str">
        <f>+_xlfn.XLOOKUP(E299,Data_Cleaning!$B$6:$B$50,Data_Cleaning!$C$6:$C$50)</f>
        <v>Tarragona​</v>
      </c>
      <c r="G299" s="36" t="str" cm="1">
        <f t="array" ref="G299">_xlfn.XLOOKUP(TRUE,ISNUMBER(SEARCH(Data_Cleaning!$F$6:$F$36,C299)),Data_Cleaning!$G$6:$G$36,"Other",0)</f>
        <v>Social Sciences and Law</v>
      </c>
      <c r="H299" s="24" t="str">
        <f>+_xlfn.XLOOKUP(G299,Data_Cleaning!$J$6:$J$11,Data_Cleaning!$K$6:$K$11)</f>
        <v>Social Sciences</v>
      </c>
      <c r="I299" s="12">
        <v>8413</v>
      </c>
      <c r="J299" s="12">
        <v>5000</v>
      </c>
      <c r="K299" s="12">
        <v>5000</v>
      </c>
      <c r="L299" s="12">
        <v>5000</v>
      </c>
    </row>
    <row r="300" spans="2:12" ht="15" customHeight="1">
      <c r="B300" s="10">
        <v>81065</v>
      </c>
      <c r="C300" s="22" t="s">
        <v>60</v>
      </c>
      <c r="D300" s="11" t="s">
        <v>23</v>
      </c>
      <c r="E300" s="25" t="s">
        <v>686</v>
      </c>
      <c r="F300" s="36" t="str">
        <f>+_xlfn.XLOOKUP(E300,Data_Cleaning!$B$6:$B$50,Data_Cleaning!$C$6:$C$50)</f>
        <v>Girona​</v>
      </c>
      <c r="G300" s="36" t="str" cm="1">
        <f t="array" ref="G300">_xlfn.XLOOKUP(TRUE,ISNUMBER(SEARCH(Data_Cleaning!$F$6:$F$36,C300)),Data_Cleaning!$G$6:$G$36,"Other",0)</f>
        <v>Engineering and Architecture</v>
      </c>
      <c r="H300" s="24" t="str">
        <f>+_xlfn.XLOOKUP(G300,Data_Cleaning!$J$6:$J$11,Data_Cleaning!$K$6:$K$11)</f>
        <v>Science and Technology</v>
      </c>
      <c r="I300" s="12">
        <v>8422</v>
      </c>
      <c r="J300" s="12">
        <v>5844</v>
      </c>
      <c r="K300" s="12">
        <v>5660</v>
      </c>
      <c r="L300" s="12">
        <v>7000</v>
      </c>
    </row>
    <row r="301" spans="2:12" ht="15" customHeight="1">
      <c r="B301" s="10">
        <v>71008</v>
      </c>
      <c r="C301" s="22" t="s">
        <v>184</v>
      </c>
      <c r="D301" s="11" t="s">
        <v>18</v>
      </c>
      <c r="E301" s="25" t="s">
        <v>696</v>
      </c>
      <c r="F301" s="36" t="str">
        <f>+_xlfn.XLOOKUP(E301,Data_Cleaning!$B$6:$B$50,Data_Cleaning!$C$6:$C$50)</f>
        <v>Tarragona​</v>
      </c>
      <c r="G301" s="36" t="str" cm="1">
        <f t="array" ref="G301">_xlfn.XLOOKUP(TRUE,ISNUMBER(SEARCH(Data_Cleaning!$F$6:$F$36,C301)),Data_Cleaning!$G$6:$G$36,"Other",0)</f>
        <v>Social Sciences and Law</v>
      </c>
      <c r="H301" s="24" t="str">
        <f>+_xlfn.XLOOKUP(G301,Data_Cleaning!$J$6:$J$11,Data_Cleaning!$K$6:$K$11)</f>
        <v>Social Sciences</v>
      </c>
      <c r="I301" s="12">
        <v>8460</v>
      </c>
      <c r="J301" s="12">
        <v>5000</v>
      </c>
      <c r="K301" s="12">
        <v>6330</v>
      </c>
      <c r="L301" s="12">
        <v>5000</v>
      </c>
    </row>
    <row r="302" spans="2:12" ht="15" customHeight="1">
      <c r="B302" s="10">
        <v>61016</v>
      </c>
      <c r="C302" s="22" t="s">
        <v>61</v>
      </c>
      <c r="D302" s="11" t="s">
        <v>25</v>
      </c>
      <c r="E302" s="25" t="s">
        <v>688</v>
      </c>
      <c r="F302" s="36" t="str">
        <f>+_xlfn.XLOOKUP(E302,Data_Cleaning!$B$6:$B$50,Data_Cleaning!$C$6:$C$50)</f>
        <v>Lleida​</v>
      </c>
      <c r="G302" s="36" t="str" cm="1">
        <f t="array" ref="G302">_xlfn.XLOOKUP(TRUE,ISNUMBER(SEARCH(Data_Cleaning!$F$6:$F$36,C302)),Data_Cleaning!$G$6:$G$36,"Other",0)</f>
        <v>Engineering and Architecture</v>
      </c>
      <c r="H302" s="24" t="str">
        <f>+_xlfn.XLOOKUP(G302,Data_Cleaning!$J$6:$J$11,Data_Cleaning!$K$6:$K$11)</f>
        <v>Science and Technology</v>
      </c>
      <c r="I302" s="12">
        <v>8482</v>
      </c>
      <c r="J302" s="12">
        <v>5000</v>
      </c>
      <c r="K302" s="12">
        <v>7700</v>
      </c>
      <c r="L302" s="12">
        <v>5000</v>
      </c>
    </row>
    <row r="303" spans="2:12" ht="15" customHeight="1">
      <c r="B303" s="10">
        <v>21055</v>
      </c>
      <c r="C303" s="22" t="s">
        <v>553</v>
      </c>
      <c r="D303" s="11" t="s">
        <v>20</v>
      </c>
      <c r="E303" s="25" t="s">
        <v>685</v>
      </c>
      <c r="F303" s="36" t="str">
        <f>+_xlfn.XLOOKUP(E303,Data_Cleaning!$B$6:$B$50,Data_Cleaning!$C$6:$C$50)</f>
        <v>Barcelona​</v>
      </c>
      <c r="G303" s="36" t="s">
        <v>762</v>
      </c>
      <c r="H303" s="24" t="str">
        <f>+_xlfn.XLOOKUP(G303,Data_Cleaning!$J$6:$J$11,Data_Cleaning!$K$6:$K$11)</f>
        <v>Social Sciences</v>
      </c>
      <c r="I303" s="12">
        <v>8492</v>
      </c>
      <c r="J303" s="12">
        <v>5000</v>
      </c>
      <c r="K303" s="12">
        <v>5000</v>
      </c>
      <c r="L303" s="12">
        <v>5833</v>
      </c>
    </row>
    <row r="304" spans="2:12" ht="15" customHeight="1">
      <c r="B304" s="10">
        <v>81015</v>
      </c>
      <c r="C304" s="22" t="s">
        <v>182</v>
      </c>
      <c r="D304" s="11" t="s">
        <v>23</v>
      </c>
      <c r="E304" s="25" t="s">
        <v>686</v>
      </c>
      <c r="F304" s="36" t="str">
        <f>+_xlfn.XLOOKUP(E304,Data_Cleaning!$B$6:$B$50,Data_Cleaning!$C$6:$C$50)</f>
        <v>Girona​</v>
      </c>
      <c r="G304" s="36" t="str" cm="1">
        <f t="array" ref="G304">_xlfn.XLOOKUP(TRUE,ISNUMBER(SEARCH(Data_Cleaning!$F$6:$F$36,C304)),Data_Cleaning!$G$6:$G$36,"Other",0)</f>
        <v>Social Sciences and Law</v>
      </c>
      <c r="H304" s="24" t="str">
        <f>+_xlfn.XLOOKUP(G304,Data_Cleaning!$J$6:$J$11,Data_Cleaning!$K$6:$K$11)</f>
        <v>Social Sciences</v>
      </c>
      <c r="I304" s="12">
        <v>8494</v>
      </c>
      <c r="J304" s="12">
        <v>5000</v>
      </c>
      <c r="K304" s="12">
        <v>6290</v>
      </c>
      <c r="L304" s="12">
        <v>5000</v>
      </c>
    </row>
    <row r="305" spans="2:12" ht="15" customHeight="1">
      <c r="B305" s="10">
        <v>81034</v>
      </c>
      <c r="C305" s="22" t="s">
        <v>548</v>
      </c>
      <c r="D305" s="11" t="s">
        <v>23</v>
      </c>
      <c r="E305" s="25" t="s">
        <v>686</v>
      </c>
      <c r="F305" s="36" t="str">
        <f>+_xlfn.XLOOKUP(E305,Data_Cleaning!$B$6:$B$50,Data_Cleaning!$C$6:$C$50)</f>
        <v>Girona​</v>
      </c>
      <c r="G305" s="36" t="str" cm="1">
        <f t="array" ref="G305">_xlfn.XLOOKUP(TRUE,ISNUMBER(SEARCH(Data_Cleaning!$F$6:$F$36,C305)),Data_Cleaning!$G$6:$G$36,"Other",0)</f>
        <v>Sciences</v>
      </c>
      <c r="H305" s="24" t="str">
        <f>+_xlfn.XLOOKUP(G305,Data_Cleaning!$J$6:$J$11,Data_Cleaning!$K$6:$K$11)</f>
        <v>Science and Technology</v>
      </c>
      <c r="I305" s="12">
        <v>8512</v>
      </c>
      <c r="J305" s="12">
        <v>5000</v>
      </c>
      <c r="K305" s="12">
        <v>5000</v>
      </c>
      <c r="L305" s="12">
        <v>5000</v>
      </c>
    </row>
    <row r="306" spans="2:12" ht="15" customHeight="1">
      <c r="B306" s="10">
        <v>11099</v>
      </c>
      <c r="C306" s="22" t="s">
        <v>69</v>
      </c>
      <c r="D306" s="11" t="s">
        <v>16</v>
      </c>
      <c r="E306" s="25" t="s">
        <v>684</v>
      </c>
      <c r="F306" s="36" t="str">
        <f>+_xlfn.XLOOKUP(E306,Data_Cleaning!$B$6:$B$50,Data_Cleaning!$C$6:$C$50)</f>
        <v>Barcelona​</v>
      </c>
      <c r="G306" s="36" t="str" cm="1">
        <f t="array" ref="G306">_xlfn.XLOOKUP(TRUE,ISNUMBER(SEARCH(Data_Cleaning!$F$6:$F$36,C306)),Data_Cleaning!$G$6:$G$36,"Other",0)</f>
        <v>Arts and Humanities</v>
      </c>
      <c r="H306" s="24" t="str">
        <f>+_xlfn.XLOOKUP(G306,Data_Cleaning!$J$6:$J$11,Data_Cleaning!$K$6:$K$11)</f>
        <v>Arts and Humanities</v>
      </c>
      <c r="I306" s="12">
        <v>8522</v>
      </c>
      <c r="J306" s="12">
        <v>5000</v>
      </c>
      <c r="K306" s="12">
        <v>7670</v>
      </c>
      <c r="L306" s="12">
        <v>6500</v>
      </c>
    </row>
    <row r="307" spans="2:12" ht="15" customHeight="1">
      <c r="B307" s="10">
        <v>31076</v>
      </c>
      <c r="C307" s="23" t="s">
        <v>643</v>
      </c>
      <c r="D307" s="11" t="s">
        <v>58</v>
      </c>
      <c r="E307" s="25" t="s">
        <v>711</v>
      </c>
      <c r="F307" s="36" t="str">
        <f>+_xlfn.XLOOKUP(E307,Data_Cleaning!$B$6:$B$50,Data_Cleaning!$C$6:$C$50)</f>
        <v>Barcelona​</v>
      </c>
      <c r="G307" s="36" t="str" cm="1">
        <f t="array" ref="G307">_xlfn.XLOOKUP(TRUE,ISNUMBER(SEARCH(Data_Cleaning!$F$6:$F$36,C307)),Data_Cleaning!$G$6:$G$36,"Other",0)</f>
        <v>Engineering and Architecture</v>
      </c>
      <c r="H307" s="24" t="str">
        <f>+_xlfn.XLOOKUP(G307,Data_Cleaning!$J$6:$J$11,Data_Cleaning!$K$6:$K$11)</f>
        <v>Science and Technology</v>
      </c>
      <c r="I307" s="12">
        <v>8526</v>
      </c>
      <c r="J307" s="12">
        <v>5000</v>
      </c>
      <c r="K307" s="12">
        <v>5000</v>
      </c>
      <c r="L307" s="12">
        <v>5000</v>
      </c>
    </row>
    <row r="308" spans="2:12" ht="15" customHeight="1">
      <c r="B308" s="10">
        <v>71045</v>
      </c>
      <c r="C308" s="22" t="s">
        <v>528</v>
      </c>
      <c r="D308" s="11" t="s">
        <v>18</v>
      </c>
      <c r="E308" s="25" t="s">
        <v>690</v>
      </c>
      <c r="F308" s="36" t="str">
        <f>+_xlfn.XLOOKUP(E308,Data_Cleaning!$B$6:$B$50,Data_Cleaning!$C$6:$C$50)</f>
        <v>Tarragona​</v>
      </c>
      <c r="G308" s="36" t="s">
        <v>753</v>
      </c>
      <c r="H308" s="24" t="str">
        <f>+_xlfn.XLOOKUP(G308,Data_Cleaning!$J$6:$J$11,Data_Cleaning!$K$6:$K$11)</f>
        <v>Science and Technology</v>
      </c>
      <c r="I308" s="12">
        <v>8564</v>
      </c>
      <c r="J308" s="12">
        <v>5000</v>
      </c>
      <c r="K308" s="12">
        <v>6500</v>
      </c>
      <c r="L308" s="12">
        <v>5000</v>
      </c>
    </row>
    <row r="309" spans="2:12" ht="15" customHeight="1">
      <c r="B309" s="10">
        <v>71076</v>
      </c>
      <c r="C309" s="23" t="s">
        <v>626</v>
      </c>
      <c r="D309" s="11" t="s">
        <v>18</v>
      </c>
      <c r="E309" s="25" t="s">
        <v>691</v>
      </c>
      <c r="F309" s="36" t="str">
        <f>+_xlfn.XLOOKUP(E309,Data_Cleaning!$B$6:$B$50,Data_Cleaning!$C$6:$C$50)</f>
        <v>Tarragona​</v>
      </c>
      <c r="G309" s="36" t="str" cm="1">
        <f t="array" ref="G309">_xlfn.XLOOKUP(TRUE,ISNUMBER(SEARCH(Data_Cleaning!$F$6:$F$36,C309)),Data_Cleaning!$G$6:$G$36,"Other",0)</f>
        <v>Double Degree</v>
      </c>
      <c r="H309" s="24" t="s">
        <v>775</v>
      </c>
      <c r="I309" s="12">
        <v>8596</v>
      </c>
      <c r="J309" s="12">
        <v>5000</v>
      </c>
      <c r="K309" s="12">
        <v>5000</v>
      </c>
      <c r="L309" s="12">
        <v>5000</v>
      </c>
    </row>
    <row r="310" spans="2:12" ht="15" customHeight="1">
      <c r="B310" s="10">
        <v>81013</v>
      </c>
      <c r="C310" s="22" t="s">
        <v>153</v>
      </c>
      <c r="D310" s="11" t="s">
        <v>23</v>
      </c>
      <c r="E310" s="25" t="s">
        <v>686</v>
      </c>
      <c r="F310" s="36" t="str">
        <f>+_xlfn.XLOOKUP(E310,Data_Cleaning!$B$6:$B$50,Data_Cleaning!$C$6:$C$50)</f>
        <v>Girona​</v>
      </c>
      <c r="G310" s="36" t="s">
        <v>762</v>
      </c>
      <c r="H310" s="24" t="str">
        <f>+_xlfn.XLOOKUP(G310,Data_Cleaning!$J$6:$J$11,Data_Cleaning!$K$6:$K$11)</f>
        <v>Social Sciences</v>
      </c>
      <c r="I310" s="12">
        <v>8604</v>
      </c>
      <c r="J310" s="12">
        <v>6750</v>
      </c>
      <c r="K310" s="12">
        <v>5000</v>
      </c>
      <c r="L310" s="12">
        <v>5000</v>
      </c>
    </row>
    <row r="311" spans="2:12" ht="15" customHeight="1">
      <c r="B311" s="10">
        <v>61070</v>
      </c>
      <c r="C311" s="23" t="s">
        <v>601</v>
      </c>
      <c r="D311" s="11" t="s">
        <v>25</v>
      </c>
      <c r="E311" s="25" t="s">
        <v>687</v>
      </c>
      <c r="F311" s="36" t="str">
        <f>+_xlfn.XLOOKUP(E311,Data_Cleaning!$B$6:$B$50,Data_Cleaning!$C$6:$C$50)</f>
        <v>Barcelona​</v>
      </c>
      <c r="G311" s="36" t="str" cm="1">
        <f t="array" ref="G311">_xlfn.XLOOKUP(TRUE,ISNUMBER(SEARCH(Data_Cleaning!$F$6:$F$36,C311)),Data_Cleaning!$G$6:$G$36,"Other",0)</f>
        <v>Double Degree</v>
      </c>
      <c r="H311" s="24" t="s">
        <v>794</v>
      </c>
      <c r="I311" s="12">
        <v>8616</v>
      </c>
      <c r="J311" s="12">
        <v>5000</v>
      </c>
      <c r="K311" s="12">
        <v>5000</v>
      </c>
      <c r="L311" s="12">
        <v>5000</v>
      </c>
    </row>
    <row r="312" spans="2:12" ht="15" customHeight="1">
      <c r="B312" s="10">
        <v>81042</v>
      </c>
      <c r="C312" s="22" t="s">
        <v>321</v>
      </c>
      <c r="D312" s="11" t="s">
        <v>23</v>
      </c>
      <c r="E312" s="25" t="s">
        <v>686</v>
      </c>
      <c r="F312" s="36" t="str">
        <f>+_xlfn.XLOOKUP(E312,Data_Cleaning!$B$6:$B$50,Data_Cleaning!$C$6:$C$50)</f>
        <v>Girona​</v>
      </c>
      <c r="G312" s="36" t="str" cm="1">
        <f t="array" ref="G312">_xlfn.XLOOKUP(TRUE,ISNUMBER(SEARCH(Data_Cleaning!$F$6:$F$36,C312)),Data_Cleaning!$G$6:$G$36,"Other",0)</f>
        <v>Engineering and Architecture</v>
      </c>
      <c r="H312" s="24" t="str">
        <f>+_xlfn.XLOOKUP(G312,Data_Cleaning!$J$6:$J$11,Data_Cleaning!$K$6:$K$11)</f>
        <v>Science and Technology</v>
      </c>
      <c r="I312" s="12">
        <v>8631</v>
      </c>
      <c r="J312" s="12">
        <v>5000</v>
      </c>
      <c r="K312" s="12">
        <v>5000</v>
      </c>
      <c r="L312" s="12">
        <v>5000</v>
      </c>
    </row>
    <row r="313" spans="2:12" ht="15" customHeight="1">
      <c r="B313" s="10">
        <v>11054</v>
      </c>
      <c r="C313" s="22" t="s">
        <v>97</v>
      </c>
      <c r="D313" s="11" t="s">
        <v>16</v>
      </c>
      <c r="E313" s="25" t="s">
        <v>700</v>
      </c>
      <c r="F313" s="36" t="str">
        <f>+_xlfn.XLOOKUP(E313,Data_Cleaning!$B$6:$B$50,Data_Cleaning!$C$6:$C$50)</f>
        <v>Barcelona​</v>
      </c>
      <c r="G313" s="36" t="s">
        <v>768</v>
      </c>
      <c r="H313" s="24" t="str">
        <f>+_xlfn.XLOOKUP(G313,Data_Cleaning!$J$6:$J$11,Data_Cleaning!$K$6:$K$11)</f>
        <v>Science and Technology</v>
      </c>
      <c r="I313" s="12">
        <v>8638</v>
      </c>
      <c r="J313" s="12">
        <v>5000</v>
      </c>
      <c r="K313" s="12">
        <v>5000</v>
      </c>
      <c r="L313" s="12">
        <v>5000</v>
      </c>
    </row>
    <row r="314" spans="2:12" ht="15" customHeight="1">
      <c r="B314" s="10">
        <v>71083</v>
      </c>
      <c r="C314" s="22" t="s">
        <v>188</v>
      </c>
      <c r="D314" s="11" t="s">
        <v>18</v>
      </c>
      <c r="E314" s="25" t="s">
        <v>696</v>
      </c>
      <c r="F314" s="36" t="str">
        <f>+_xlfn.XLOOKUP(E314,Data_Cleaning!$B$6:$B$50,Data_Cleaning!$C$6:$C$50)</f>
        <v>Tarragona​</v>
      </c>
      <c r="G314" s="36" t="str" cm="1">
        <f t="array" ref="G314">_xlfn.XLOOKUP(TRUE,ISNUMBER(SEARCH(Data_Cleaning!$F$6:$F$36,C314)),Data_Cleaning!$G$6:$G$36,"Other",0)</f>
        <v>Double Degree</v>
      </c>
      <c r="H314" s="24" t="s">
        <v>795</v>
      </c>
      <c r="I314" s="12">
        <v>8638</v>
      </c>
      <c r="J314" s="12">
        <v>5313</v>
      </c>
      <c r="K314" s="12">
        <v>5000</v>
      </c>
      <c r="L314" s="12">
        <v>5000</v>
      </c>
    </row>
    <row r="315" spans="2:12" ht="15" customHeight="1">
      <c r="B315" s="10">
        <v>21084</v>
      </c>
      <c r="C315" s="22" t="s">
        <v>135</v>
      </c>
      <c r="D315" s="11" t="s">
        <v>20</v>
      </c>
      <c r="E315" s="25" t="s">
        <v>707</v>
      </c>
      <c r="F315" s="36" t="str">
        <f>+_xlfn.XLOOKUP(E315,Data_Cleaning!$B$6:$B$50,Data_Cleaning!$C$6:$C$50)</f>
        <v>Barcelona​</v>
      </c>
      <c r="G315" s="36" t="s">
        <v>762</v>
      </c>
      <c r="H315" s="24" t="str">
        <f>+_xlfn.XLOOKUP(G315,Data_Cleaning!$J$6:$J$11,Data_Cleaning!$K$6:$K$11)</f>
        <v>Social Sciences</v>
      </c>
      <c r="I315" s="12">
        <v>8648</v>
      </c>
      <c r="J315" s="12">
        <v>5000</v>
      </c>
      <c r="K315" s="12">
        <v>5000</v>
      </c>
      <c r="L315" s="12">
        <v>5000</v>
      </c>
    </row>
    <row r="316" spans="2:12" ht="15" customHeight="1">
      <c r="B316" s="10">
        <v>91064</v>
      </c>
      <c r="C316" s="22" t="s">
        <v>452</v>
      </c>
      <c r="D316" s="11" t="s">
        <v>28</v>
      </c>
      <c r="E316" s="25" t="s">
        <v>720</v>
      </c>
      <c r="F316" s="36" t="str">
        <f>+_xlfn.XLOOKUP(E316,Data_Cleaning!$B$6:$B$50,Data_Cleaning!$C$6:$C$50)</f>
        <v>Barcelona​</v>
      </c>
      <c r="G316" s="36" t="str" cm="1">
        <f t="array" ref="G316">_xlfn.XLOOKUP(TRUE,ISNUMBER(SEARCH(Data_Cleaning!$F$6:$F$36,C316)),Data_Cleaning!$G$6:$G$36,"Other",0)</f>
        <v>Health Sciences</v>
      </c>
      <c r="H316" s="24" t="str">
        <f>+_xlfn.XLOOKUP(G316,Data_Cleaning!$J$6:$J$11,Data_Cleaning!$K$6:$K$11)</f>
        <v>Science and Technology</v>
      </c>
      <c r="I316" s="12">
        <v>8660</v>
      </c>
      <c r="J316" s="12">
        <v>5000</v>
      </c>
      <c r="K316" s="12">
        <v>6700</v>
      </c>
      <c r="L316" s="12">
        <v>5000</v>
      </c>
    </row>
    <row r="317" spans="2:12" ht="15" customHeight="1">
      <c r="B317" s="10">
        <v>71039</v>
      </c>
      <c r="C317" s="22" t="s">
        <v>324</v>
      </c>
      <c r="D317" s="11" t="s">
        <v>18</v>
      </c>
      <c r="E317" s="25" t="s">
        <v>696</v>
      </c>
      <c r="F317" s="36" t="str">
        <f>+_xlfn.XLOOKUP(E317,Data_Cleaning!$B$6:$B$50,Data_Cleaning!$C$6:$C$50)</f>
        <v>Tarragona​</v>
      </c>
      <c r="G317" s="36" t="str" cm="1">
        <f t="array" ref="G317">_xlfn.XLOOKUP(TRUE,ISNUMBER(SEARCH(Data_Cleaning!$F$6:$F$36,C317)),Data_Cleaning!$G$6:$G$36,"Other",0)</f>
        <v>Engineering and Architecture</v>
      </c>
      <c r="H317" s="24" t="str">
        <f>+_xlfn.XLOOKUP(G317,Data_Cleaning!$J$6:$J$11,Data_Cleaning!$K$6:$K$11)</f>
        <v>Science and Technology</v>
      </c>
      <c r="I317" s="12">
        <v>8673</v>
      </c>
      <c r="J317" s="12">
        <v>5000</v>
      </c>
      <c r="K317" s="12">
        <v>5000</v>
      </c>
      <c r="L317" s="12">
        <v>5000</v>
      </c>
    </row>
    <row r="318" spans="2:12" ht="15" customHeight="1">
      <c r="B318" s="10">
        <v>11008</v>
      </c>
      <c r="C318" s="22" t="s">
        <v>129</v>
      </c>
      <c r="D318" s="11" t="s">
        <v>16</v>
      </c>
      <c r="E318" s="25" t="s">
        <v>684</v>
      </c>
      <c r="F318" s="36" t="str">
        <f>+_xlfn.XLOOKUP(E318,Data_Cleaning!$B$6:$B$50,Data_Cleaning!$C$6:$C$50)</f>
        <v>Barcelona​</v>
      </c>
      <c r="G318" s="36" t="str" cm="1">
        <f t="array" ref="G318">_xlfn.XLOOKUP(TRUE,ISNUMBER(SEARCH(Data_Cleaning!$F$6:$F$36,C318)),Data_Cleaning!$G$6:$G$36,"Other",0)</f>
        <v>Social Sciences and Law</v>
      </c>
      <c r="H318" s="24" t="str">
        <f>+_xlfn.XLOOKUP(G318,Data_Cleaning!$J$6:$J$11,Data_Cleaning!$K$6:$K$11)</f>
        <v>Social Sciences</v>
      </c>
      <c r="I318" s="12">
        <v>8678</v>
      </c>
      <c r="J318" s="12">
        <v>5000</v>
      </c>
      <c r="K318" s="12">
        <v>6720</v>
      </c>
      <c r="L318" s="12">
        <v>6000</v>
      </c>
    </row>
    <row r="319" spans="2:12" ht="15" customHeight="1">
      <c r="B319" s="10">
        <v>11076</v>
      </c>
      <c r="C319" s="22" t="s">
        <v>557</v>
      </c>
      <c r="D319" s="11" t="s">
        <v>16</v>
      </c>
      <c r="E319" s="25" t="s">
        <v>726</v>
      </c>
      <c r="F319" s="36" t="str">
        <f>+_xlfn.XLOOKUP(E319,Data_Cleaning!$B$6:$B$50,Data_Cleaning!$C$6:$C$50)</f>
        <v>Barcelona​</v>
      </c>
      <c r="G319" s="36" t="s">
        <v>762</v>
      </c>
      <c r="H319" s="24" t="str">
        <f>+_xlfn.XLOOKUP(G319,Data_Cleaning!$J$6:$J$11,Data_Cleaning!$K$6:$K$11)</f>
        <v>Social Sciences</v>
      </c>
      <c r="I319" s="12">
        <v>8678</v>
      </c>
      <c r="J319" s="12">
        <v>7063</v>
      </c>
      <c r="K319" s="12">
        <v>6780</v>
      </c>
      <c r="L319" s="12">
        <v>5000</v>
      </c>
    </row>
    <row r="320" spans="2:12" ht="15" customHeight="1">
      <c r="B320" s="10">
        <v>21052</v>
      </c>
      <c r="C320" s="22" t="s">
        <v>521</v>
      </c>
      <c r="D320" s="11" t="s">
        <v>20</v>
      </c>
      <c r="E320" s="25" t="s">
        <v>685</v>
      </c>
      <c r="F320" s="36" t="str">
        <f>+_xlfn.XLOOKUP(E320,Data_Cleaning!$B$6:$B$50,Data_Cleaning!$C$6:$C$50)</f>
        <v>Barcelona​</v>
      </c>
      <c r="G320" s="36" t="str" cm="1">
        <f t="array" ref="G320">_xlfn.XLOOKUP(TRUE,ISNUMBER(SEARCH(Data_Cleaning!$F$6:$F$36,C320)),Data_Cleaning!$G$6:$G$36,"Other",0)</f>
        <v>Social Sciences and Law</v>
      </c>
      <c r="H320" s="24" t="str">
        <f>+_xlfn.XLOOKUP(G320,Data_Cleaning!$J$6:$J$11,Data_Cleaning!$K$6:$K$11)</f>
        <v>Social Sciences</v>
      </c>
      <c r="I320" s="12">
        <v>8702</v>
      </c>
      <c r="J320" s="12">
        <v>5000</v>
      </c>
      <c r="K320" s="12">
        <v>5000</v>
      </c>
      <c r="L320" s="12">
        <v>5000</v>
      </c>
    </row>
    <row r="321" spans="2:12" ht="15" customHeight="1">
      <c r="B321" s="10">
        <v>81088</v>
      </c>
      <c r="C321" s="23" t="s">
        <v>656</v>
      </c>
      <c r="D321" s="11" t="s">
        <v>23</v>
      </c>
      <c r="E321" s="25" t="s">
        <v>686</v>
      </c>
      <c r="F321" s="36" t="str">
        <f>+_xlfn.XLOOKUP(E321,Data_Cleaning!$B$6:$B$50,Data_Cleaning!$C$6:$C$50)</f>
        <v>Girona​</v>
      </c>
      <c r="G321" s="36" t="str" cm="1">
        <f t="array" ref="G321">_xlfn.XLOOKUP(TRUE,ISNUMBER(SEARCH(Data_Cleaning!$F$6:$F$36,C321)),Data_Cleaning!$G$6:$G$36,"Other",0)</f>
        <v>Engineering and Architecture</v>
      </c>
      <c r="H321" s="24" t="str">
        <f>+_xlfn.XLOOKUP(G321,Data_Cleaning!$J$6:$J$11,Data_Cleaning!$K$6:$K$11)</f>
        <v>Science and Technology</v>
      </c>
      <c r="I321" s="12">
        <v>8726</v>
      </c>
      <c r="J321" s="12">
        <v>5000</v>
      </c>
      <c r="K321" s="12">
        <v>5000</v>
      </c>
      <c r="L321" s="12">
        <v>5000</v>
      </c>
    </row>
    <row r="322" spans="2:12" ht="15" customHeight="1">
      <c r="B322" s="10">
        <v>81020</v>
      </c>
      <c r="C322" s="22" t="s">
        <v>59</v>
      </c>
      <c r="D322" s="11" t="s">
        <v>23</v>
      </c>
      <c r="E322" s="25" t="s">
        <v>686</v>
      </c>
      <c r="F322" s="36" t="str">
        <f>+_xlfn.XLOOKUP(E322,Data_Cleaning!$B$6:$B$50,Data_Cleaning!$C$6:$C$50)</f>
        <v>Girona​</v>
      </c>
      <c r="G322" s="36" t="str" cm="1">
        <f t="array" ref="G322">_xlfn.XLOOKUP(TRUE,ISNUMBER(SEARCH(Data_Cleaning!$F$6:$F$36,C322)),Data_Cleaning!$G$6:$G$36,"Other",0)</f>
        <v>Engineering and Architecture</v>
      </c>
      <c r="H322" s="24" t="str">
        <f>+_xlfn.XLOOKUP(G322,Data_Cleaning!$J$6:$J$11,Data_Cleaning!$K$6:$K$11)</f>
        <v>Science and Technology</v>
      </c>
      <c r="I322" s="12">
        <v>8730</v>
      </c>
      <c r="J322" s="12">
        <v>5000</v>
      </c>
      <c r="K322" s="12">
        <v>8350</v>
      </c>
      <c r="L322" s="12">
        <v>5667</v>
      </c>
    </row>
    <row r="323" spans="2:12" ht="15" customHeight="1">
      <c r="B323" s="10">
        <v>71041</v>
      </c>
      <c r="C323" s="22" t="s">
        <v>341</v>
      </c>
      <c r="D323" s="11" t="s">
        <v>18</v>
      </c>
      <c r="E323" s="25" t="s">
        <v>696</v>
      </c>
      <c r="F323" s="36" t="str">
        <f>+_xlfn.XLOOKUP(E323,Data_Cleaning!$B$6:$B$50,Data_Cleaning!$C$6:$C$50)</f>
        <v>Tarragona​</v>
      </c>
      <c r="G323" s="40" t="str" cm="1">
        <f t="array" ref="G323">_xlfn.XLOOKUP(TRUE,ISNUMBER(SEARCH(Data_Cleaning!$F$6:$F$36,C323)),Data_Cleaning!$G$6:$G$36,"Other",0)</f>
        <v>Engineering and Architecture</v>
      </c>
      <c r="H323" s="24" t="str">
        <f>+_xlfn.XLOOKUP(G323,Data_Cleaning!$J$6:$J$11,Data_Cleaning!$K$6:$K$11)</f>
        <v>Science and Technology</v>
      </c>
      <c r="I323" s="12">
        <v>8742</v>
      </c>
      <c r="J323" s="12">
        <v>5000</v>
      </c>
      <c r="K323" s="12">
        <v>5000</v>
      </c>
      <c r="L323" s="12">
        <v>5000</v>
      </c>
    </row>
    <row r="324" spans="2:12" ht="15" customHeight="1">
      <c r="B324" s="10">
        <v>31006</v>
      </c>
      <c r="C324" s="23" t="s">
        <v>638</v>
      </c>
      <c r="D324" s="11" t="s">
        <v>58</v>
      </c>
      <c r="E324" s="25" t="s">
        <v>715</v>
      </c>
      <c r="F324" s="36" t="str">
        <f>+_xlfn.XLOOKUP(E324,Data_Cleaning!$B$6:$B$50,Data_Cleaning!$C$6:$C$50)</f>
        <v>Barcelona​</v>
      </c>
      <c r="G324" s="40" t="str" cm="1">
        <f t="array" ref="G324">_xlfn.XLOOKUP(TRUE,ISNUMBER(SEARCH(Data_Cleaning!$F$6:$F$36,C324)),Data_Cleaning!$G$6:$G$36,"Other",0)</f>
        <v>Engineering and Architecture</v>
      </c>
      <c r="H324" s="24" t="str">
        <f>+_xlfn.XLOOKUP(G324,Data_Cleaning!$J$6:$J$11,Data_Cleaning!$K$6:$K$11)</f>
        <v>Science and Technology</v>
      </c>
      <c r="I324" s="12">
        <v>8784</v>
      </c>
      <c r="J324" s="12">
        <v>5000</v>
      </c>
      <c r="K324" s="12">
        <v>5000</v>
      </c>
      <c r="L324" s="12">
        <v>5000</v>
      </c>
    </row>
    <row r="325" spans="2:12" ht="15" customHeight="1">
      <c r="B325" s="10">
        <v>31122</v>
      </c>
      <c r="C325" s="22" t="s">
        <v>177</v>
      </c>
      <c r="D325" s="11" t="s">
        <v>58</v>
      </c>
      <c r="E325" s="25" t="s">
        <v>706</v>
      </c>
      <c r="F325" s="36" t="str">
        <f>+_xlfn.XLOOKUP(E325,Data_Cleaning!$B$6:$B$50,Data_Cleaning!$C$6:$C$50)</f>
        <v>Barcelona​</v>
      </c>
      <c r="G325" s="40" t="s">
        <v>753</v>
      </c>
      <c r="H325" s="24" t="str">
        <f>+_xlfn.XLOOKUP(G325,Data_Cleaning!$J$6:$J$11,Data_Cleaning!$K$6:$K$11)</f>
        <v>Science and Technology</v>
      </c>
      <c r="I325" s="12">
        <v>8796</v>
      </c>
      <c r="J325" s="12">
        <v>5000</v>
      </c>
      <c r="K325" s="12">
        <v>5000</v>
      </c>
      <c r="L325" s="12">
        <v>5000</v>
      </c>
    </row>
    <row r="326" spans="2:12" ht="15" customHeight="1">
      <c r="B326" s="10">
        <v>81084</v>
      </c>
      <c r="C326" s="22" t="s">
        <v>363</v>
      </c>
      <c r="D326" s="11" t="s">
        <v>23</v>
      </c>
      <c r="E326" s="25" t="s">
        <v>686</v>
      </c>
      <c r="F326" s="36" t="str">
        <f>+_xlfn.XLOOKUP(E326,Data_Cleaning!$B$6:$B$50,Data_Cleaning!$C$6:$C$50)</f>
        <v>Girona​</v>
      </c>
      <c r="G326" s="36" t="s">
        <v>775</v>
      </c>
      <c r="H326" s="24" t="str">
        <f>+_xlfn.XLOOKUP(G326,Data_Cleaning!$J$6:$J$11,Data_Cleaning!$K$6:$K$11)</f>
        <v>Arts and Humanities</v>
      </c>
      <c r="I326" s="12">
        <v>8800</v>
      </c>
      <c r="J326" s="12">
        <v>5000</v>
      </c>
      <c r="K326" s="12">
        <v>5000</v>
      </c>
      <c r="L326" s="12">
        <v>5000</v>
      </c>
    </row>
    <row r="327" spans="2:12" ht="15" customHeight="1">
      <c r="B327" s="10">
        <v>71021</v>
      </c>
      <c r="C327" s="22" t="s">
        <v>526</v>
      </c>
      <c r="D327" s="11" t="s">
        <v>18</v>
      </c>
      <c r="E327" s="25" t="s">
        <v>696</v>
      </c>
      <c r="F327" s="36" t="str">
        <f>+_xlfn.XLOOKUP(E327,Data_Cleaning!$B$6:$B$50,Data_Cleaning!$C$6:$C$50)</f>
        <v>Tarragona​</v>
      </c>
      <c r="G327" s="40" t="s">
        <v>775</v>
      </c>
      <c r="H327" s="24" t="str">
        <f>+_xlfn.XLOOKUP(G327,Data_Cleaning!$J$6:$J$11,Data_Cleaning!$K$6:$K$11)</f>
        <v>Arts and Humanities</v>
      </c>
      <c r="I327" s="12">
        <v>8806</v>
      </c>
      <c r="J327" s="12">
        <v>5000</v>
      </c>
      <c r="K327" s="12">
        <v>5000</v>
      </c>
      <c r="L327" s="12">
        <v>5000</v>
      </c>
    </row>
    <row r="328" spans="2:12" ht="15" customHeight="1">
      <c r="B328" s="10">
        <v>61037</v>
      </c>
      <c r="C328" s="23" t="s">
        <v>625</v>
      </c>
      <c r="D328" s="11" t="s">
        <v>25</v>
      </c>
      <c r="E328" s="25" t="s">
        <v>688</v>
      </c>
      <c r="F328" s="36" t="str">
        <f>+_xlfn.XLOOKUP(E328,Data_Cleaning!$B$6:$B$50,Data_Cleaning!$C$6:$C$50)</f>
        <v>Lleida​</v>
      </c>
      <c r="G328" s="40" t="str" cm="1">
        <f t="array" ref="G328">_xlfn.XLOOKUP(TRUE,ISNUMBER(SEARCH(Data_Cleaning!$F$6:$F$36,C328)),Data_Cleaning!$G$6:$G$36,"Other",0)</f>
        <v>Double Degree</v>
      </c>
      <c r="H328" s="24" t="s">
        <v>775</v>
      </c>
      <c r="I328" s="12">
        <v>8820</v>
      </c>
      <c r="J328" s="12">
        <v>5000</v>
      </c>
      <c r="K328" s="12">
        <v>5000</v>
      </c>
      <c r="L328" s="12">
        <v>5000</v>
      </c>
    </row>
    <row r="329" spans="2:12" ht="15" customHeight="1">
      <c r="B329" s="10">
        <v>11060</v>
      </c>
      <c r="C329" s="22" t="s">
        <v>265</v>
      </c>
      <c r="D329" s="11" t="s">
        <v>16</v>
      </c>
      <c r="E329" s="25" t="s">
        <v>684</v>
      </c>
      <c r="F329" s="36" t="str">
        <f>+_xlfn.XLOOKUP(E329,Data_Cleaning!$B$6:$B$50,Data_Cleaning!$C$6:$C$50)</f>
        <v>Barcelona​</v>
      </c>
      <c r="G329" s="40" t="str" cm="1">
        <f t="array" ref="G329">_xlfn.XLOOKUP(TRUE,ISNUMBER(SEARCH(Data_Cleaning!$F$6:$F$36,C329)),Data_Cleaning!$G$6:$G$36,"Other",0)</f>
        <v>Engineering and Architecture</v>
      </c>
      <c r="H329" s="24" t="str">
        <f>+_xlfn.XLOOKUP(G329,Data_Cleaning!$J$6:$J$11,Data_Cleaning!$K$6:$K$11)</f>
        <v>Science and Technology</v>
      </c>
      <c r="I329" s="12">
        <v>8826</v>
      </c>
      <c r="J329" s="12">
        <v>5000</v>
      </c>
      <c r="K329" s="12">
        <v>5000</v>
      </c>
      <c r="L329" s="12">
        <v>5000</v>
      </c>
    </row>
    <row r="330" spans="2:12" ht="15" customHeight="1">
      <c r="B330" s="10">
        <v>81016</v>
      </c>
      <c r="C330" s="22" t="s">
        <v>192</v>
      </c>
      <c r="D330" s="11" t="s">
        <v>23</v>
      </c>
      <c r="E330" s="25" t="s">
        <v>686</v>
      </c>
      <c r="F330" s="36" t="str">
        <f>+_xlfn.XLOOKUP(E330,Data_Cleaning!$B$6:$B$50,Data_Cleaning!$C$6:$C$50)</f>
        <v>Girona​</v>
      </c>
      <c r="G330" s="36" t="str" cm="1">
        <f t="array" ref="G330">_xlfn.XLOOKUP(TRUE,ISNUMBER(SEARCH(Data_Cleaning!$F$6:$F$36,C330)),Data_Cleaning!$G$6:$G$36,"Other",0)</f>
        <v>Social Sciences and Law</v>
      </c>
      <c r="H330" s="24" t="str">
        <f>+_xlfn.XLOOKUP(G330,Data_Cleaning!$J$6:$J$11,Data_Cleaning!$K$6:$K$11)</f>
        <v>Social Sciences</v>
      </c>
      <c r="I330" s="12">
        <v>8832</v>
      </c>
      <c r="J330" s="12">
        <v>5000</v>
      </c>
      <c r="K330" s="12">
        <v>5000</v>
      </c>
      <c r="L330" s="12">
        <v>5000</v>
      </c>
    </row>
    <row r="331" spans="2:12" ht="15" customHeight="1">
      <c r="B331" s="10">
        <v>11013</v>
      </c>
      <c r="C331" s="22" t="s">
        <v>198</v>
      </c>
      <c r="D331" s="11" t="s">
        <v>16</v>
      </c>
      <c r="E331" s="25" t="s">
        <v>684</v>
      </c>
      <c r="F331" s="36" t="str">
        <f>+_xlfn.XLOOKUP(E331,Data_Cleaning!$B$6:$B$50,Data_Cleaning!$C$6:$C$50)</f>
        <v>Barcelona​</v>
      </c>
      <c r="G331" s="40" t="str" cm="1">
        <f t="array" ref="G331">_xlfn.XLOOKUP(TRUE,ISNUMBER(SEARCH(Data_Cleaning!$F$6:$F$36,C331)),Data_Cleaning!$G$6:$G$36,"Other",0)</f>
        <v>Social Sciences and Law</v>
      </c>
      <c r="H331" s="24" t="str">
        <f>+_xlfn.XLOOKUP(G331,Data_Cleaning!$J$6:$J$11,Data_Cleaning!$K$6:$K$11)</f>
        <v>Social Sciences</v>
      </c>
      <c r="I331" s="12">
        <v>8840</v>
      </c>
      <c r="J331" s="12">
        <v>5000</v>
      </c>
      <c r="K331" s="12">
        <v>6280</v>
      </c>
      <c r="L331" s="12">
        <v>5000</v>
      </c>
    </row>
    <row r="332" spans="2:12" ht="15" customHeight="1">
      <c r="B332" s="10">
        <v>21013</v>
      </c>
      <c r="C332" s="22" t="s">
        <v>98</v>
      </c>
      <c r="D332" s="11" t="s">
        <v>20</v>
      </c>
      <c r="E332" s="25" t="s">
        <v>685</v>
      </c>
      <c r="F332" s="36" t="str">
        <f>+_xlfn.XLOOKUP(E332,Data_Cleaning!$B$6:$B$50,Data_Cleaning!$C$6:$C$50)</f>
        <v>Barcelona​</v>
      </c>
      <c r="G332" s="40" t="s">
        <v>762</v>
      </c>
      <c r="H332" s="24" t="str">
        <f>+_xlfn.XLOOKUP(G332,Data_Cleaning!$J$6:$J$11,Data_Cleaning!$K$6:$K$11)</f>
        <v>Social Sciences</v>
      </c>
      <c r="I332" s="12">
        <v>8866</v>
      </c>
      <c r="J332" s="12">
        <v>5000</v>
      </c>
      <c r="K332" s="12">
        <v>5000</v>
      </c>
      <c r="L332" s="12">
        <v>5000</v>
      </c>
    </row>
    <row r="333" spans="2:12" ht="15" customHeight="1">
      <c r="B333" s="10">
        <v>11046</v>
      </c>
      <c r="C333" s="22" t="s">
        <v>529</v>
      </c>
      <c r="D333" s="11" t="s">
        <v>16</v>
      </c>
      <c r="E333" s="25" t="s">
        <v>709</v>
      </c>
      <c r="F333" s="36" t="str">
        <f>+_xlfn.XLOOKUP(E333,Data_Cleaning!$B$6:$B$50,Data_Cleaning!$C$6:$C$50)</f>
        <v>Barcelona​</v>
      </c>
      <c r="G333" s="40" t="s">
        <v>768</v>
      </c>
      <c r="H333" s="24" t="str">
        <f>+_xlfn.XLOOKUP(G333,Data_Cleaning!$J$6:$J$11,Data_Cleaning!$K$6:$K$11)</f>
        <v>Science and Technology</v>
      </c>
      <c r="I333" s="12">
        <v>8872</v>
      </c>
      <c r="J333" s="12">
        <v>5813</v>
      </c>
      <c r="K333" s="12">
        <v>6830</v>
      </c>
      <c r="L333" s="12">
        <v>6500</v>
      </c>
    </row>
    <row r="334" spans="2:12" ht="15" customHeight="1">
      <c r="B334" s="153">
        <v>31086</v>
      </c>
      <c r="C334" s="23" t="s">
        <v>593</v>
      </c>
      <c r="D334" s="155" t="s">
        <v>58</v>
      </c>
      <c r="E334" s="25" t="s">
        <v>684</v>
      </c>
      <c r="F334" s="36" t="str">
        <f>+_xlfn.XLOOKUP(E334,Data_Cleaning!$B$6:$B$50,Data_Cleaning!$C$6:$C$50)</f>
        <v>Barcelona​</v>
      </c>
      <c r="G334" s="40" t="str" cm="1">
        <f t="array" ref="G334">_xlfn.XLOOKUP(TRUE,ISNUMBER(SEARCH(Data_Cleaning!$F$6:$F$36,C334)),Data_Cleaning!$G$6:$G$36,"Other",0)</f>
        <v>Engineering and Architecture</v>
      </c>
      <c r="H334" s="24" t="str">
        <f>+_xlfn.XLOOKUP(G334,Data_Cleaning!$J$6:$J$11,Data_Cleaning!$K$6:$K$11)</f>
        <v>Science and Technology</v>
      </c>
      <c r="I334" s="156">
        <v>8876</v>
      </c>
      <c r="J334" s="156">
        <v>5000</v>
      </c>
      <c r="K334" s="156">
        <v>5000</v>
      </c>
      <c r="L334" s="156">
        <v>5000</v>
      </c>
    </row>
    <row r="335" spans="2:12" ht="15" customHeight="1">
      <c r="B335" s="10">
        <v>41055</v>
      </c>
      <c r="C335" s="22" t="s">
        <v>395</v>
      </c>
      <c r="D335" s="11" t="s">
        <v>11</v>
      </c>
      <c r="E335" s="25" t="s">
        <v>683</v>
      </c>
      <c r="F335" s="36" t="str">
        <f>+_xlfn.XLOOKUP(E335,Data_Cleaning!$B$6:$B$50,Data_Cleaning!$C$6:$C$50)</f>
        <v>Barcelona​</v>
      </c>
      <c r="G335" s="40" t="str" cm="1">
        <f t="array" ref="G335">_xlfn.XLOOKUP(TRUE,ISNUMBER(SEARCH(Data_Cleaning!$F$6:$F$36,C335)),Data_Cleaning!$G$6:$G$36,"Other",0)</f>
        <v>Health Sciences</v>
      </c>
      <c r="H335" s="24" t="str">
        <f>+_xlfn.XLOOKUP(G335,Data_Cleaning!$J$6:$J$11,Data_Cleaning!$K$6:$K$11)</f>
        <v>Science and Technology</v>
      </c>
      <c r="I335" s="12">
        <v>8887</v>
      </c>
      <c r="J335" s="12">
        <v>5000</v>
      </c>
      <c r="K335" s="12">
        <v>7210</v>
      </c>
      <c r="L335" s="12">
        <v>5833</v>
      </c>
    </row>
    <row r="336" spans="2:12" ht="15" customHeight="1">
      <c r="B336" s="10">
        <v>21129</v>
      </c>
      <c r="C336" s="22" t="s">
        <v>345</v>
      </c>
      <c r="D336" s="11" t="s">
        <v>20</v>
      </c>
      <c r="E336" s="25" t="s">
        <v>685</v>
      </c>
      <c r="F336" s="36" t="str">
        <f>+_xlfn.XLOOKUP(E336,Data_Cleaning!$B$6:$B$50,Data_Cleaning!$C$6:$C$50)</f>
        <v>Barcelona​</v>
      </c>
      <c r="G336" s="40" t="str" cm="1">
        <f t="array" ref="G336">_xlfn.XLOOKUP(TRUE,ISNUMBER(SEARCH(Data_Cleaning!$F$6:$F$36,C336)),Data_Cleaning!$G$6:$G$36,"Other",0)</f>
        <v>Double Degree</v>
      </c>
      <c r="H336" s="24" t="s">
        <v>795</v>
      </c>
      <c r="I336" s="12">
        <v>8896</v>
      </c>
      <c r="J336" s="12">
        <v>5000</v>
      </c>
      <c r="K336" s="12">
        <v>5000</v>
      </c>
      <c r="L336" s="12">
        <v>5000</v>
      </c>
    </row>
    <row r="337" spans="2:12" ht="15" customHeight="1">
      <c r="B337" s="10">
        <v>81018</v>
      </c>
      <c r="C337" s="22" t="s">
        <v>217</v>
      </c>
      <c r="D337" s="11" t="s">
        <v>23</v>
      </c>
      <c r="E337" s="25" t="s">
        <v>686</v>
      </c>
      <c r="F337" s="36" t="str">
        <f>+_xlfn.XLOOKUP(E337,Data_Cleaning!$B$6:$B$50,Data_Cleaning!$C$6:$C$50)</f>
        <v>Girona​</v>
      </c>
      <c r="G337" s="40" t="str" cm="1">
        <f t="array" ref="G337">_xlfn.XLOOKUP(TRUE,ISNUMBER(SEARCH(Data_Cleaning!$F$6:$F$36,C337)),Data_Cleaning!$G$6:$G$36,"Other",0)</f>
        <v>Social Sciences and Law</v>
      </c>
      <c r="H337" s="24" t="str">
        <f>+_xlfn.XLOOKUP(G337,Data_Cleaning!$J$6:$J$11,Data_Cleaning!$K$6:$K$11)</f>
        <v>Social Sciences</v>
      </c>
      <c r="I337" s="12">
        <v>8913</v>
      </c>
      <c r="J337" s="12">
        <v>5000</v>
      </c>
      <c r="K337" s="12">
        <v>7686</v>
      </c>
      <c r="L337" s="12">
        <v>5000</v>
      </c>
    </row>
    <row r="338" spans="2:12" ht="15" customHeight="1">
      <c r="B338" s="10">
        <v>41031</v>
      </c>
      <c r="C338" s="22" t="s">
        <v>451</v>
      </c>
      <c r="D338" s="11" t="s">
        <v>11</v>
      </c>
      <c r="E338" s="25" t="s">
        <v>683</v>
      </c>
      <c r="F338" s="36" t="str">
        <f>+_xlfn.XLOOKUP(E338,Data_Cleaning!$B$6:$B$50,Data_Cleaning!$C$6:$C$50)</f>
        <v>Barcelona​</v>
      </c>
      <c r="G338" s="40" t="str" cm="1">
        <f t="array" ref="G338">_xlfn.XLOOKUP(TRUE,ISNUMBER(SEARCH(Data_Cleaning!$F$6:$F$36,C338)),Data_Cleaning!$G$6:$G$36,"Other",0)</f>
        <v>Health Sciences</v>
      </c>
      <c r="H338" s="24" t="str">
        <f>+_xlfn.XLOOKUP(G338,Data_Cleaning!$J$6:$J$11,Data_Cleaning!$K$6:$K$11)</f>
        <v>Science and Technology</v>
      </c>
      <c r="I338" s="12">
        <v>8932</v>
      </c>
      <c r="J338" s="12">
        <v>5000</v>
      </c>
      <c r="K338" s="12">
        <v>6870</v>
      </c>
      <c r="L338" s="12">
        <v>5000</v>
      </c>
    </row>
    <row r="339" spans="2:12" ht="15" customHeight="1">
      <c r="B339" s="10">
        <v>11014</v>
      </c>
      <c r="C339" s="22" t="s">
        <v>214</v>
      </c>
      <c r="D339" s="11" t="s">
        <v>16</v>
      </c>
      <c r="E339" s="25" t="s">
        <v>684</v>
      </c>
      <c r="F339" s="36" t="str">
        <f>+_xlfn.XLOOKUP(E339,Data_Cleaning!$B$6:$B$50,Data_Cleaning!$C$6:$C$50)</f>
        <v>Barcelona​</v>
      </c>
      <c r="G339" s="40" t="str" cm="1">
        <f t="array" ref="G339">_xlfn.XLOOKUP(TRUE,ISNUMBER(SEARCH(Data_Cleaning!$F$6:$F$36,C339)),Data_Cleaning!$G$6:$G$36,"Other",0)</f>
        <v>Social Sciences and Law</v>
      </c>
      <c r="H339" s="24" t="str">
        <f>+_xlfn.XLOOKUP(G339,Data_Cleaning!$J$6:$J$11,Data_Cleaning!$K$6:$K$11)</f>
        <v>Social Sciences</v>
      </c>
      <c r="I339" s="12">
        <v>8938</v>
      </c>
      <c r="J339" s="12">
        <v>5000</v>
      </c>
      <c r="K339" s="12">
        <v>7010</v>
      </c>
      <c r="L339" s="12">
        <v>5000</v>
      </c>
    </row>
    <row r="340" spans="2:12" ht="15" customHeight="1">
      <c r="B340" s="10">
        <v>31016</v>
      </c>
      <c r="C340" s="22" t="s">
        <v>57</v>
      </c>
      <c r="D340" s="11" t="s">
        <v>58</v>
      </c>
      <c r="E340" s="25" t="s">
        <v>684</v>
      </c>
      <c r="F340" s="36" t="str">
        <f>+_xlfn.XLOOKUP(E340,Data_Cleaning!$B$6:$B$50,Data_Cleaning!$C$6:$C$50)</f>
        <v>Barcelona​</v>
      </c>
      <c r="G340" s="40" t="str" cm="1">
        <f t="array" ref="G340">_xlfn.XLOOKUP(TRUE,ISNUMBER(SEARCH(Data_Cleaning!$F$6:$F$36,C340)),Data_Cleaning!$G$6:$G$36,"Other",0)</f>
        <v>Engineering and Architecture</v>
      </c>
      <c r="H340" s="24" t="str">
        <f>+_xlfn.XLOOKUP(G340,Data_Cleaning!$J$6:$J$11,Data_Cleaning!$K$6:$K$11)</f>
        <v>Science and Technology</v>
      </c>
      <c r="I340" s="12">
        <v>8950</v>
      </c>
      <c r="J340" s="12">
        <v>5000</v>
      </c>
      <c r="K340" s="12">
        <v>5000</v>
      </c>
      <c r="L340" s="12">
        <v>5000</v>
      </c>
    </row>
    <row r="341" spans="2:12" ht="15" customHeight="1">
      <c r="B341" s="10">
        <v>61038</v>
      </c>
      <c r="C341" s="23" t="s">
        <v>609</v>
      </c>
      <c r="D341" s="11" t="s">
        <v>25</v>
      </c>
      <c r="E341" s="25" t="s">
        <v>688</v>
      </c>
      <c r="F341" s="36" t="str">
        <f>+_xlfn.XLOOKUP(E341,Data_Cleaning!$B$6:$B$50,Data_Cleaning!$C$6:$C$50)</f>
        <v>Lleida​</v>
      </c>
      <c r="G341" s="40" t="str" cm="1">
        <f t="array" ref="G341">_xlfn.XLOOKUP(TRUE,ISNUMBER(SEARCH(Data_Cleaning!$F$6:$F$36,C341)),Data_Cleaning!$G$6:$G$36,"Other",0)</f>
        <v>Double Degree</v>
      </c>
      <c r="H341" s="24" t="s">
        <v>794</v>
      </c>
      <c r="I341" s="12">
        <v>8956</v>
      </c>
      <c r="J341" s="12">
        <v>5000</v>
      </c>
      <c r="K341" s="12">
        <v>5000</v>
      </c>
      <c r="L341" s="12">
        <v>5000</v>
      </c>
    </row>
    <row r="342" spans="2:12" ht="15" customHeight="1">
      <c r="B342" s="10">
        <v>71011</v>
      </c>
      <c r="C342" s="22" t="s">
        <v>220</v>
      </c>
      <c r="D342" s="11" t="s">
        <v>18</v>
      </c>
      <c r="E342" s="25" t="s">
        <v>696</v>
      </c>
      <c r="F342" s="36" t="str">
        <f>+_xlfn.XLOOKUP(E342,Data_Cleaning!$B$6:$B$50,Data_Cleaning!$C$6:$C$50)</f>
        <v>Tarragona​</v>
      </c>
      <c r="G342" s="40" t="str" cm="1">
        <f t="array" ref="G342">_xlfn.XLOOKUP(TRUE,ISNUMBER(SEARCH(Data_Cleaning!$F$6:$F$36,C342)),Data_Cleaning!$G$6:$G$36,"Other",0)</f>
        <v>Social Sciences and Law</v>
      </c>
      <c r="H342" s="24" t="str">
        <f>+_xlfn.XLOOKUP(G342,Data_Cleaning!$J$6:$J$11,Data_Cleaning!$K$6:$K$11)</f>
        <v>Social Sciences</v>
      </c>
      <c r="I342" s="12">
        <v>8956</v>
      </c>
      <c r="J342" s="12">
        <v>5000</v>
      </c>
      <c r="K342" s="12">
        <v>7550</v>
      </c>
      <c r="L342" s="12">
        <v>5000</v>
      </c>
    </row>
    <row r="343" spans="2:12" ht="15" customHeight="1">
      <c r="B343" s="10">
        <v>21147</v>
      </c>
      <c r="C343" s="22" t="s">
        <v>104</v>
      </c>
      <c r="D343" s="11" t="s">
        <v>20</v>
      </c>
      <c r="E343" s="25" t="s">
        <v>685</v>
      </c>
      <c r="F343" s="36" t="str">
        <f>+_xlfn.XLOOKUP(E343,Data_Cleaning!$B$6:$B$50,Data_Cleaning!$C$6:$C$50)</f>
        <v>Barcelona​</v>
      </c>
      <c r="G343" s="36" t="str" cm="1">
        <f t="array" ref="G343">_xlfn.XLOOKUP(TRUE,ISNUMBER(SEARCH(Data_Cleaning!$F$6:$F$36,C343)),Data_Cleaning!$G$6:$G$36,"Other",0)</f>
        <v>Sciences</v>
      </c>
      <c r="H343" s="24" t="str">
        <f>+_xlfn.XLOOKUP(G343,Data_Cleaning!$J$6:$J$11,Data_Cleaning!$K$6:$K$11)</f>
        <v>Science and Technology</v>
      </c>
      <c r="I343" s="12">
        <v>8958</v>
      </c>
      <c r="J343" s="12">
        <v>5000</v>
      </c>
      <c r="K343" s="12">
        <v>5000</v>
      </c>
      <c r="L343" s="12">
        <v>5000</v>
      </c>
    </row>
    <row r="344" spans="2:12" ht="15" customHeight="1">
      <c r="B344" s="10">
        <v>21018</v>
      </c>
      <c r="C344" s="22" t="s">
        <v>215</v>
      </c>
      <c r="D344" s="11" t="s">
        <v>20</v>
      </c>
      <c r="E344" s="25" t="s">
        <v>685</v>
      </c>
      <c r="F344" s="36" t="str">
        <f>+_xlfn.XLOOKUP(E344,Data_Cleaning!$B$6:$B$50,Data_Cleaning!$C$6:$C$50)</f>
        <v>Barcelona​</v>
      </c>
      <c r="G344" s="36" t="str" cm="1">
        <f t="array" ref="G344">_xlfn.XLOOKUP(TRUE,ISNUMBER(SEARCH(Data_Cleaning!$F$6:$F$36,C344)),Data_Cleaning!$G$6:$G$36,"Other",0)</f>
        <v>Social Sciences and Law</v>
      </c>
      <c r="H344" s="24" t="str">
        <f>+_xlfn.XLOOKUP(G344,Data_Cleaning!$J$6:$J$11,Data_Cleaning!$K$6:$K$11)</f>
        <v>Social Sciences</v>
      </c>
      <c r="I344" s="12">
        <v>8960</v>
      </c>
      <c r="J344" s="12">
        <v>5000</v>
      </c>
      <c r="K344" s="12">
        <v>5000</v>
      </c>
      <c r="L344" s="12">
        <v>5000</v>
      </c>
    </row>
    <row r="345" spans="2:12" ht="15" customHeight="1">
      <c r="B345" s="10">
        <v>21048</v>
      </c>
      <c r="C345" s="22" t="s">
        <v>475</v>
      </c>
      <c r="D345" s="11" t="s">
        <v>20</v>
      </c>
      <c r="E345" s="25" t="s">
        <v>685</v>
      </c>
      <c r="F345" s="36" t="str">
        <f>+_xlfn.XLOOKUP(E345,Data_Cleaning!$B$6:$B$50,Data_Cleaning!$C$6:$C$50)</f>
        <v>Barcelona​</v>
      </c>
      <c r="G345" s="40" t="str" cm="1">
        <f t="array" ref="G345">_xlfn.XLOOKUP(TRUE,ISNUMBER(SEARCH(Data_Cleaning!$F$6:$F$36,C345)),Data_Cleaning!$G$6:$G$36,"Other",0)</f>
        <v>Health Sciences</v>
      </c>
      <c r="H345" s="24" t="str">
        <f>+_xlfn.XLOOKUP(G345,Data_Cleaning!$J$6:$J$11,Data_Cleaning!$K$6:$K$11)</f>
        <v>Science and Technology</v>
      </c>
      <c r="I345" s="12">
        <v>8970</v>
      </c>
      <c r="J345" s="12">
        <v>5000</v>
      </c>
      <c r="K345" s="12">
        <v>5000</v>
      </c>
      <c r="L345" s="12">
        <v>5000</v>
      </c>
    </row>
    <row r="346" spans="2:12" ht="15" customHeight="1">
      <c r="B346" s="10">
        <v>31025</v>
      </c>
      <c r="C346" s="22" t="s">
        <v>266</v>
      </c>
      <c r="D346" s="11" t="s">
        <v>58</v>
      </c>
      <c r="E346" s="25" t="s">
        <v>713</v>
      </c>
      <c r="F346" s="36" t="str">
        <f>+_xlfn.XLOOKUP(E346,Data_Cleaning!$B$6:$B$50,Data_Cleaning!$C$6:$C$50)</f>
        <v>Barcelona​</v>
      </c>
      <c r="G346" s="40" t="str" cm="1">
        <f t="array" ref="G346">_xlfn.XLOOKUP(TRUE,ISNUMBER(SEARCH(Data_Cleaning!$F$6:$F$36,C346)),Data_Cleaning!$G$6:$G$36,"Other",0)</f>
        <v>Engineering and Architecture</v>
      </c>
      <c r="H346" s="24" t="str">
        <f>+_xlfn.XLOOKUP(G346,Data_Cleaning!$J$6:$J$11,Data_Cleaning!$K$6:$K$11)</f>
        <v>Science and Technology</v>
      </c>
      <c r="I346" s="12">
        <v>8984</v>
      </c>
      <c r="J346" s="12">
        <v>5000</v>
      </c>
      <c r="K346" s="12">
        <v>5000</v>
      </c>
      <c r="L346" s="12">
        <v>5000</v>
      </c>
    </row>
    <row r="347" spans="2:12" ht="15" customHeight="1">
      <c r="B347" s="10">
        <v>21038</v>
      </c>
      <c r="C347" s="22" t="s">
        <v>415</v>
      </c>
      <c r="D347" s="11" t="s">
        <v>20</v>
      </c>
      <c r="E347" s="25" t="s">
        <v>707</v>
      </c>
      <c r="F347" s="36" t="str">
        <f>+_xlfn.XLOOKUP(E347,Data_Cleaning!$B$6:$B$50,Data_Cleaning!$C$6:$C$50)</f>
        <v>Barcelona​</v>
      </c>
      <c r="G347" s="36" t="s">
        <v>753</v>
      </c>
      <c r="H347" s="24" t="str">
        <f>+_xlfn.XLOOKUP(G347,Data_Cleaning!$J$6:$J$11,Data_Cleaning!$K$6:$K$11)</f>
        <v>Science and Technology</v>
      </c>
      <c r="I347" s="12">
        <v>8994</v>
      </c>
      <c r="J347" s="12">
        <v>5000</v>
      </c>
      <c r="K347" s="12">
        <v>5000</v>
      </c>
      <c r="L347" s="12">
        <v>5000</v>
      </c>
    </row>
    <row r="348" spans="2:12" ht="15" customHeight="1">
      <c r="B348" s="10">
        <v>41024</v>
      </c>
      <c r="C348" s="23" t="s">
        <v>678</v>
      </c>
      <c r="D348" s="11" t="s">
        <v>11</v>
      </c>
      <c r="E348" s="25" t="s">
        <v>684</v>
      </c>
      <c r="F348" s="36" t="str">
        <f>+_xlfn.XLOOKUP(E348,Data_Cleaning!$B$6:$B$50,Data_Cleaning!$C$6:$C$50)</f>
        <v>Barcelona​</v>
      </c>
      <c r="G348" s="36" t="str" cm="1">
        <f t="array" ref="G348">_xlfn.XLOOKUP(TRUE,ISNUMBER(SEARCH(Data_Cleaning!$F$6:$F$36,C348)),Data_Cleaning!$G$6:$G$36,"Other",0)</f>
        <v>Social Sciences and Law</v>
      </c>
      <c r="H348" s="24" t="str">
        <f>+_xlfn.XLOOKUP(G348,Data_Cleaning!$J$6:$J$11,Data_Cleaning!$K$6:$K$11)</f>
        <v>Social Sciences</v>
      </c>
      <c r="I348" s="12">
        <v>9000</v>
      </c>
      <c r="J348" s="12">
        <v>5000</v>
      </c>
      <c r="K348" s="12">
        <v>5000</v>
      </c>
      <c r="L348" s="12">
        <v>5000</v>
      </c>
    </row>
    <row r="349" spans="2:12" ht="15" customHeight="1">
      <c r="B349" s="10">
        <v>21138</v>
      </c>
      <c r="C349" s="22" t="s">
        <v>438</v>
      </c>
      <c r="D349" s="11" t="s">
        <v>20</v>
      </c>
      <c r="E349" s="25" t="s">
        <v>685</v>
      </c>
      <c r="F349" s="36" t="str">
        <f>+_xlfn.XLOOKUP(E349,Data_Cleaning!$B$6:$B$50,Data_Cleaning!$C$6:$C$50)</f>
        <v>Barcelona​</v>
      </c>
      <c r="G349" s="36" t="str" cm="1">
        <f t="array" ref="G349">_xlfn.XLOOKUP(TRUE,ISNUMBER(SEARCH(Data_Cleaning!$F$6:$F$36,C349)),Data_Cleaning!$G$6:$G$36,"Other",0)</f>
        <v>Social Sciences and Law</v>
      </c>
      <c r="H349" s="24" t="str">
        <f>+_xlfn.XLOOKUP(G349,Data_Cleaning!$J$6:$J$11,Data_Cleaning!$K$6:$K$11)</f>
        <v>Social Sciences</v>
      </c>
      <c r="I349" s="12">
        <v>9006</v>
      </c>
      <c r="J349" s="12">
        <v>5188</v>
      </c>
      <c r="K349" s="12">
        <v>6710</v>
      </c>
      <c r="L349" s="12">
        <v>5000</v>
      </c>
    </row>
    <row r="350" spans="2:12" ht="15" customHeight="1">
      <c r="B350" s="10">
        <v>21021</v>
      </c>
      <c r="C350" s="22" t="s">
        <v>95</v>
      </c>
      <c r="D350" s="11" t="s">
        <v>20</v>
      </c>
      <c r="E350" s="25" t="s">
        <v>685</v>
      </c>
      <c r="F350" s="36" t="str">
        <f>+_xlfn.XLOOKUP(E350,Data_Cleaning!$B$6:$B$50,Data_Cleaning!$C$6:$C$50)</f>
        <v>Barcelona​</v>
      </c>
      <c r="G350" s="36" t="s">
        <v>753</v>
      </c>
      <c r="H350" s="24" t="str">
        <f>+_xlfn.XLOOKUP(G350,Data_Cleaning!$J$6:$J$11,Data_Cleaning!$K$6:$K$11)</f>
        <v>Science and Technology</v>
      </c>
      <c r="I350" s="12">
        <v>9032</v>
      </c>
      <c r="J350" s="12">
        <v>5000</v>
      </c>
      <c r="K350" s="12">
        <v>5000</v>
      </c>
      <c r="L350" s="12">
        <v>5833</v>
      </c>
    </row>
    <row r="351" spans="2:12" ht="15" customHeight="1">
      <c r="B351" s="10">
        <v>31053</v>
      </c>
      <c r="C351" s="22" t="s">
        <v>293</v>
      </c>
      <c r="D351" s="11" t="s">
        <v>58</v>
      </c>
      <c r="E351" s="25" t="s">
        <v>713</v>
      </c>
      <c r="F351" s="36" t="str">
        <f>+_xlfn.XLOOKUP(E351,Data_Cleaning!$B$6:$B$50,Data_Cleaning!$C$6:$C$50)</f>
        <v>Barcelona​</v>
      </c>
      <c r="G351" s="36" t="str" cm="1">
        <f t="array" ref="G351">_xlfn.XLOOKUP(TRUE,ISNUMBER(SEARCH(Data_Cleaning!$F$6:$F$36,C351)),Data_Cleaning!$G$6:$G$36,"Other",0)</f>
        <v>Engineering and Architecture</v>
      </c>
      <c r="H351" s="24" t="str">
        <f>+_xlfn.XLOOKUP(G351,Data_Cleaning!$J$6:$J$11,Data_Cleaning!$K$6:$K$11)</f>
        <v>Science and Technology</v>
      </c>
      <c r="I351" s="12">
        <v>9032</v>
      </c>
      <c r="J351" s="12">
        <v>5000</v>
      </c>
      <c r="K351" s="12">
        <v>5000</v>
      </c>
      <c r="L351" s="12">
        <v>5000</v>
      </c>
    </row>
    <row r="352" spans="2:12" ht="15" customHeight="1">
      <c r="B352" s="10">
        <v>41068</v>
      </c>
      <c r="C352" s="22" t="s">
        <v>291</v>
      </c>
      <c r="D352" s="11" t="s">
        <v>11</v>
      </c>
      <c r="E352" s="25" t="s">
        <v>684</v>
      </c>
      <c r="F352" s="36" t="str">
        <f>+_xlfn.XLOOKUP(E352,Data_Cleaning!$B$6:$B$50,Data_Cleaning!$C$6:$C$50)</f>
        <v>Barcelona​</v>
      </c>
      <c r="G352" s="36" t="str" cm="1">
        <f t="array" ref="G352">_xlfn.XLOOKUP(TRUE,ISNUMBER(SEARCH(Data_Cleaning!$F$6:$F$36,C352)),Data_Cleaning!$G$6:$G$36,"Other",0)</f>
        <v>Engineering and Architecture</v>
      </c>
      <c r="H352" s="24" t="str">
        <f>+_xlfn.XLOOKUP(G352,Data_Cleaning!$J$6:$J$11,Data_Cleaning!$K$6:$K$11)</f>
        <v>Science and Technology</v>
      </c>
      <c r="I352" s="12">
        <v>9038</v>
      </c>
      <c r="J352" s="12">
        <v>5000</v>
      </c>
      <c r="K352" s="12">
        <v>5000</v>
      </c>
      <c r="L352" s="12">
        <v>5000</v>
      </c>
    </row>
    <row r="353" spans="2:12" ht="15" customHeight="1">
      <c r="B353" s="10">
        <v>21019</v>
      </c>
      <c r="C353" s="22" t="s">
        <v>224</v>
      </c>
      <c r="D353" s="11" t="s">
        <v>20</v>
      </c>
      <c r="E353" s="25" t="s">
        <v>685</v>
      </c>
      <c r="F353" s="36" t="str">
        <f>+_xlfn.XLOOKUP(E353,Data_Cleaning!$B$6:$B$50,Data_Cleaning!$C$6:$C$50)</f>
        <v>Barcelona​</v>
      </c>
      <c r="G353" s="36" t="str" cm="1">
        <f t="array" ref="G353">_xlfn.XLOOKUP(TRUE,ISNUMBER(SEARCH(Data_Cleaning!$F$6:$F$36,C353)),Data_Cleaning!$G$6:$G$36,"Other",0)</f>
        <v>Social Sciences and Law</v>
      </c>
      <c r="H353" s="24" t="str">
        <f>+_xlfn.XLOOKUP(G353,Data_Cleaning!$J$6:$J$11,Data_Cleaning!$K$6:$K$11)</f>
        <v>Social Sciences</v>
      </c>
      <c r="I353" s="12">
        <v>9043</v>
      </c>
      <c r="J353" s="12">
        <v>5000</v>
      </c>
      <c r="K353" s="12">
        <v>5000</v>
      </c>
      <c r="L353" s="12">
        <v>5333</v>
      </c>
    </row>
    <row r="354" spans="2:12" ht="15" customHeight="1">
      <c r="B354" s="10">
        <v>21070</v>
      </c>
      <c r="C354" s="22" t="s">
        <v>190</v>
      </c>
      <c r="D354" s="11" t="s">
        <v>20</v>
      </c>
      <c r="E354" s="25" t="s">
        <v>685</v>
      </c>
      <c r="F354" s="36" t="str">
        <f>+_xlfn.XLOOKUP(E354,Data_Cleaning!$B$6:$B$50,Data_Cleaning!$C$6:$C$50)</f>
        <v>Barcelona​</v>
      </c>
      <c r="G354" s="36" t="str" cm="1">
        <f t="array" ref="G354">_xlfn.XLOOKUP(TRUE,ISNUMBER(SEARCH(Data_Cleaning!$F$6:$F$36,C354)),Data_Cleaning!$G$6:$G$36,"Other",0)</f>
        <v>Social Sciences and Law</v>
      </c>
      <c r="H354" s="24" t="str">
        <f>+_xlfn.XLOOKUP(G354,Data_Cleaning!$J$6:$J$11,Data_Cleaning!$K$6:$K$11)</f>
        <v>Social Sciences</v>
      </c>
      <c r="I354" s="12">
        <v>9072</v>
      </c>
      <c r="J354" s="12">
        <v>5000</v>
      </c>
      <c r="K354" s="12">
        <v>5000</v>
      </c>
      <c r="L354" s="12">
        <v>5000</v>
      </c>
    </row>
    <row r="355" spans="2:12" ht="15" customHeight="1">
      <c r="B355" s="10">
        <v>71058</v>
      </c>
      <c r="C355" s="23" t="s">
        <v>647</v>
      </c>
      <c r="D355" s="11" t="s">
        <v>18</v>
      </c>
      <c r="E355" s="25" t="s">
        <v>696</v>
      </c>
      <c r="F355" s="36" t="str">
        <f>+_xlfn.XLOOKUP(E355,Data_Cleaning!$B$6:$B$50,Data_Cleaning!$C$6:$C$50)</f>
        <v>Tarragona​</v>
      </c>
      <c r="G355" s="36" t="str" cm="1">
        <f t="array" ref="G355">_xlfn.XLOOKUP(TRUE,ISNUMBER(SEARCH(Data_Cleaning!$F$6:$F$36,C355)),Data_Cleaning!$G$6:$G$36,"Other",0)</f>
        <v>Double Degree</v>
      </c>
      <c r="H355" s="24" t="s">
        <v>794</v>
      </c>
      <c r="I355" s="12">
        <v>9078</v>
      </c>
      <c r="J355" s="12">
        <v>5000</v>
      </c>
      <c r="K355" s="12">
        <v>5000</v>
      </c>
      <c r="L355" s="12">
        <v>5000</v>
      </c>
    </row>
    <row r="356" spans="2:12" ht="15" customHeight="1">
      <c r="B356" s="10">
        <v>11090</v>
      </c>
      <c r="C356" s="22" t="s">
        <v>46</v>
      </c>
      <c r="D356" s="11" t="s">
        <v>16</v>
      </c>
      <c r="E356" s="25" t="s">
        <v>684</v>
      </c>
      <c r="F356" s="36" t="str">
        <f>+_xlfn.XLOOKUP(E356,Data_Cleaning!$B$6:$B$50,Data_Cleaning!$C$6:$C$50)</f>
        <v>Barcelona​</v>
      </c>
      <c r="G356" s="36" t="str" cm="1">
        <f t="array" ref="G356">_xlfn.XLOOKUP(TRUE,ISNUMBER(SEARCH(Data_Cleaning!$F$6:$F$36,C356)),Data_Cleaning!$G$6:$G$36,"Other",0)</f>
        <v>Double Degree</v>
      </c>
      <c r="H356" s="24" t="s">
        <v>795</v>
      </c>
      <c r="I356" s="12">
        <v>9080</v>
      </c>
      <c r="J356" s="12">
        <v>5000</v>
      </c>
      <c r="K356" s="12">
        <v>5000</v>
      </c>
      <c r="L356" s="12">
        <v>5000</v>
      </c>
    </row>
    <row r="357" spans="2:12" ht="15" customHeight="1">
      <c r="B357" s="10">
        <v>41010</v>
      </c>
      <c r="C357" s="22" t="s">
        <v>129</v>
      </c>
      <c r="D357" s="11" t="s">
        <v>11</v>
      </c>
      <c r="E357" s="25" t="s">
        <v>684</v>
      </c>
      <c r="F357" s="36" t="str">
        <f>+_xlfn.XLOOKUP(E357,Data_Cleaning!$B$6:$B$50,Data_Cleaning!$C$6:$C$50)</f>
        <v>Barcelona​</v>
      </c>
      <c r="G357" s="36" t="str" cm="1">
        <f t="array" ref="G357">_xlfn.XLOOKUP(TRUE,ISNUMBER(SEARCH(Data_Cleaning!$F$6:$F$36,C357)),Data_Cleaning!$G$6:$G$36,"Other",0)</f>
        <v>Social Sciences and Law</v>
      </c>
      <c r="H357" s="24" t="str">
        <f>+_xlfn.XLOOKUP(G357,Data_Cleaning!$J$6:$J$11,Data_Cleaning!$K$6:$K$11)</f>
        <v>Social Sciences</v>
      </c>
      <c r="I357" s="12">
        <v>9082</v>
      </c>
      <c r="J357" s="12">
        <v>5000</v>
      </c>
      <c r="K357" s="12">
        <v>5000</v>
      </c>
      <c r="L357" s="12">
        <v>5000</v>
      </c>
    </row>
    <row r="358" spans="2:12" ht="15" customHeight="1">
      <c r="B358" s="153">
        <v>31015</v>
      </c>
      <c r="C358" s="23" t="s">
        <v>592</v>
      </c>
      <c r="D358" s="155" t="s">
        <v>58</v>
      </c>
      <c r="E358" s="25" t="s">
        <v>706</v>
      </c>
      <c r="F358" s="36" t="str">
        <f>+_xlfn.XLOOKUP(E358,Data_Cleaning!$B$6:$B$50,Data_Cleaning!$C$6:$C$50)</f>
        <v>Barcelona​</v>
      </c>
      <c r="G358" s="36" t="str" cm="1">
        <f t="array" ref="G358">_xlfn.XLOOKUP(TRUE,ISNUMBER(SEARCH(Data_Cleaning!$F$6:$F$36,C358)),Data_Cleaning!$G$6:$G$36,"Other",0)</f>
        <v>Engineering and Architecture</v>
      </c>
      <c r="H358" s="24" t="str">
        <f>+_xlfn.XLOOKUP(G358,Data_Cleaning!$J$6:$J$11,Data_Cleaning!$K$6:$K$11)</f>
        <v>Science and Technology</v>
      </c>
      <c r="I358" s="156">
        <v>9085</v>
      </c>
      <c r="J358" s="156">
        <v>5000</v>
      </c>
      <c r="K358" s="156">
        <v>5000</v>
      </c>
      <c r="L358" s="156">
        <v>5000</v>
      </c>
    </row>
    <row r="359" spans="2:12" ht="15" customHeight="1">
      <c r="B359" s="10">
        <v>21016</v>
      </c>
      <c r="C359" s="22" t="s">
        <v>199</v>
      </c>
      <c r="D359" s="11" t="s">
        <v>20</v>
      </c>
      <c r="E359" s="25" t="s">
        <v>685</v>
      </c>
      <c r="F359" s="36" t="str">
        <f>+_xlfn.XLOOKUP(E359,Data_Cleaning!$B$6:$B$50,Data_Cleaning!$C$6:$C$50)</f>
        <v>Barcelona​</v>
      </c>
      <c r="G359" s="36" t="str" cm="1">
        <f t="array" ref="G359">_xlfn.XLOOKUP(TRUE,ISNUMBER(SEARCH(Data_Cleaning!$F$6:$F$36,C359)),Data_Cleaning!$G$6:$G$36,"Other",0)</f>
        <v>Social Sciences and Law</v>
      </c>
      <c r="H359" s="24" t="str">
        <f>+_xlfn.XLOOKUP(G359,Data_Cleaning!$J$6:$J$11,Data_Cleaning!$K$6:$K$11)</f>
        <v>Social Sciences</v>
      </c>
      <c r="I359" s="12">
        <v>9109</v>
      </c>
      <c r="J359" s="12">
        <v>5000</v>
      </c>
      <c r="K359" s="12">
        <v>7296</v>
      </c>
      <c r="L359" s="12">
        <v>5000</v>
      </c>
    </row>
    <row r="360" spans="2:12" ht="15" customHeight="1">
      <c r="B360" s="10">
        <v>11103</v>
      </c>
      <c r="C360" s="22" t="s">
        <v>189</v>
      </c>
      <c r="D360" s="11" t="s">
        <v>16</v>
      </c>
      <c r="E360" s="25" t="s">
        <v>684</v>
      </c>
      <c r="F360" s="36" t="str">
        <f>+_xlfn.XLOOKUP(E360,Data_Cleaning!$B$6:$B$50,Data_Cleaning!$C$6:$C$50)</f>
        <v>Barcelona​</v>
      </c>
      <c r="G360" s="40" t="str" cm="1">
        <f t="array" ref="G360">_xlfn.XLOOKUP(TRUE,ISNUMBER(SEARCH(Data_Cleaning!$F$6:$F$36,C360)),Data_Cleaning!$G$6:$G$36,"Other",0)</f>
        <v>Social Sciences and Law</v>
      </c>
      <c r="H360" s="24" t="str">
        <f>+_xlfn.XLOOKUP(G360,Data_Cleaning!$J$6:$J$11,Data_Cleaning!$K$6:$K$11)</f>
        <v>Social Sciences</v>
      </c>
      <c r="I360" s="12">
        <v>9114</v>
      </c>
      <c r="J360" s="12">
        <v>5000</v>
      </c>
      <c r="K360" s="12">
        <v>5000</v>
      </c>
      <c r="L360" s="12">
        <v>5000</v>
      </c>
    </row>
    <row r="361" spans="2:12" ht="15" customHeight="1">
      <c r="B361" s="10">
        <v>71079</v>
      </c>
      <c r="C361" s="23" t="s">
        <v>605</v>
      </c>
      <c r="D361" s="11" t="s">
        <v>18</v>
      </c>
      <c r="E361" s="25" t="s">
        <v>694</v>
      </c>
      <c r="F361" s="36" t="str">
        <f>+_xlfn.XLOOKUP(E361,Data_Cleaning!$B$6:$B$50,Data_Cleaning!$C$6:$C$50)</f>
        <v>Tarragona​</v>
      </c>
      <c r="G361" s="40" t="str" cm="1">
        <f t="array" ref="G361">_xlfn.XLOOKUP(TRUE,ISNUMBER(SEARCH(Data_Cleaning!$F$6:$F$36,C361)),Data_Cleaning!$G$6:$G$36,"Other",0)</f>
        <v>Double Degree</v>
      </c>
      <c r="H361" s="24" t="s">
        <v>795</v>
      </c>
      <c r="I361" s="12">
        <v>9120</v>
      </c>
      <c r="J361" s="12">
        <v>5000</v>
      </c>
      <c r="K361" s="12">
        <v>5000</v>
      </c>
      <c r="L361" s="12">
        <v>5000</v>
      </c>
    </row>
    <row r="362" spans="2:12" ht="15" customHeight="1">
      <c r="B362" s="10">
        <v>11117</v>
      </c>
      <c r="C362" s="22" t="s">
        <v>145</v>
      </c>
      <c r="D362" s="11" t="s">
        <v>16</v>
      </c>
      <c r="E362" s="25" t="s">
        <v>684</v>
      </c>
      <c r="F362" s="36" t="str">
        <f>+_xlfn.XLOOKUP(E362,Data_Cleaning!$B$6:$B$50,Data_Cleaning!$C$6:$C$50)</f>
        <v>Barcelona​</v>
      </c>
      <c r="G362" s="40" t="str" cm="1">
        <f t="array" ref="G362">_xlfn.XLOOKUP(TRUE,ISNUMBER(SEARCH(Data_Cleaning!$F$6:$F$36,C362)),Data_Cleaning!$G$6:$G$36,"Other",0)</f>
        <v>Social Sciences and Law</v>
      </c>
      <c r="H362" s="24" t="str">
        <f>+_xlfn.XLOOKUP(G362,Data_Cleaning!$J$6:$J$11,Data_Cleaning!$K$6:$K$11)</f>
        <v>Social Sciences</v>
      </c>
      <c r="I362" s="12">
        <v>9125</v>
      </c>
      <c r="J362" s="12">
        <v>5000</v>
      </c>
      <c r="K362" s="12">
        <v>5000</v>
      </c>
      <c r="L362" s="12">
        <v>7667</v>
      </c>
    </row>
    <row r="363" spans="2:12" ht="15" customHeight="1">
      <c r="B363" s="10">
        <v>61071</v>
      </c>
      <c r="C363" s="22" t="s">
        <v>114</v>
      </c>
      <c r="D363" s="11" t="s">
        <v>25</v>
      </c>
      <c r="E363" s="25" t="s">
        <v>703</v>
      </c>
      <c r="F363" s="36" t="str">
        <f>+_xlfn.XLOOKUP(E363,Data_Cleaning!$B$6:$B$50,Data_Cleaning!$C$6:$C$50)</f>
        <v>Lleida​</v>
      </c>
      <c r="G363" s="36" t="str" cm="1">
        <f t="array" ref="G363">_xlfn.XLOOKUP(TRUE,ISNUMBER(SEARCH(Data_Cleaning!$F$6:$F$36,C363)),Data_Cleaning!$G$6:$G$36,"Other",0)</f>
        <v>Sciences</v>
      </c>
      <c r="H363" s="24" t="str">
        <f>+_xlfn.XLOOKUP(G363,Data_Cleaning!$J$6:$J$11,Data_Cleaning!$K$6:$K$11)</f>
        <v>Science and Technology</v>
      </c>
      <c r="I363" s="12">
        <v>9150</v>
      </c>
      <c r="J363" s="12">
        <v>5000</v>
      </c>
      <c r="K363" s="12">
        <v>5000</v>
      </c>
      <c r="L363" s="12">
        <v>5000</v>
      </c>
    </row>
    <row r="364" spans="2:12" ht="15" customHeight="1">
      <c r="B364" s="10">
        <v>81003</v>
      </c>
      <c r="C364" s="22" t="s">
        <v>22</v>
      </c>
      <c r="D364" s="11" t="s">
        <v>23</v>
      </c>
      <c r="E364" s="25" t="s">
        <v>686</v>
      </c>
      <c r="F364" s="36" t="str">
        <f>+_xlfn.XLOOKUP(E364,Data_Cleaning!$B$6:$B$50,Data_Cleaning!$C$6:$C$50)</f>
        <v>Girona​</v>
      </c>
      <c r="G364" s="40" t="str" cm="1">
        <f t="array" ref="G364">_xlfn.XLOOKUP(TRUE,ISNUMBER(SEARCH(Data_Cleaning!$F$6:$F$36,C364)),Data_Cleaning!$G$6:$G$36,"Other",0)</f>
        <v>Social Sciences and Law</v>
      </c>
      <c r="H364" s="24" t="str">
        <f>+_xlfn.XLOOKUP(G364,Data_Cleaning!$J$6:$J$11,Data_Cleaning!$K$6:$K$11)</f>
        <v>Social Sciences</v>
      </c>
      <c r="I364" s="12">
        <v>9218</v>
      </c>
      <c r="J364" s="12">
        <v>5000</v>
      </c>
      <c r="K364" s="12">
        <v>5000</v>
      </c>
      <c r="L364" s="12">
        <v>6333</v>
      </c>
    </row>
    <row r="365" spans="2:12" ht="15" customHeight="1">
      <c r="B365" s="10">
        <v>31054</v>
      </c>
      <c r="C365" s="22" t="s">
        <v>302</v>
      </c>
      <c r="D365" s="11" t="s">
        <v>58</v>
      </c>
      <c r="E365" s="25" t="s">
        <v>713</v>
      </c>
      <c r="F365" s="36" t="str">
        <f>+_xlfn.XLOOKUP(E365,Data_Cleaning!$B$6:$B$50,Data_Cleaning!$C$6:$C$50)</f>
        <v>Barcelona​</v>
      </c>
      <c r="G365" s="36" t="str" cm="1">
        <f t="array" ref="G365">_xlfn.XLOOKUP(TRUE,ISNUMBER(SEARCH(Data_Cleaning!$F$6:$F$36,C365)),Data_Cleaning!$G$6:$G$36,"Other",0)</f>
        <v>Engineering and Architecture</v>
      </c>
      <c r="H365" s="24" t="str">
        <f>+_xlfn.XLOOKUP(G365,Data_Cleaning!$J$6:$J$11,Data_Cleaning!$K$6:$K$11)</f>
        <v>Science and Technology</v>
      </c>
      <c r="I365" s="12">
        <v>9240</v>
      </c>
      <c r="J365" s="12">
        <v>5000</v>
      </c>
      <c r="K365" s="12">
        <v>5000</v>
      </c>
      <c r="L365" s="12">
        <v>5000</v>
      </c>
    </row>
    <row r="366" spans="2:12" ht="15" customHeight="1">
      <c r="B366" s="10">
        <v>31049</v>
      </c>
      <c r="C366" s="22" t="s">
        <v>311</v>
      </c>
      <c r="D366" s="11" t="s">
        <v>58</v>
      </c>
      <c r="E366" s="25" t="s">
        <v>684</v>
      </c>
      <c r="F366" s="36" t="str">
        <f>+_xlfn.XLOOKUP(E366,Data_Cleaning!$B$6:$B$50,Data_Cleaning!$C$6:$C$50)</f>
        <v>Barcelona​</v>
      </c>
      <c r="G366" s="36" t="str" cm="1">
        <f t="array" ref="G366">_xlfn.XLOOKUP(TRUE,ISNUMBER(SEARCH(Data_Cleaning!$F$6:$F$36,C366)),Data_Cleaning!$G$6:$G$36,"Other",0)</f>
        <v>Engineering and Architecture</v>
      </c>
      <c r="H366" s="24" t="str">
        <f>+_xlfn.XLOOKUP(G366,Data_Cleaning!$J$6:$J$11,Data_Cleaning!$K$6:$K$11)</f>
        <v>Science and Technology</v>
      </c>
      <c r="I366" s="12">
        <v>9262</v>
      </c>
      <c r="J366" s="12">
        <v>5000</v>
      </c>
      <c r="K366" s="12">
        <v>6960</v>
      </c>
      <c r="L366" s="12">
        <v>5000</v>
      </c>
    </row>
    <row r="367" spans="2:12" ht="15" customHeight="1">
      <c r="B367" s="10">
        <v>81056</v>
      </c>
      <c r="C367" s="22" t="s">
        <v>155</v>
      </c>
      <c r="D367" s="11" t="s">
        <v>23</v>
      </c>
      <c r="E367" s="25" t="s">
        <v>686</v>
      </c>
      <c r="F367" s="36" t="str">
        <f>+_xlfn.XLOOKUP(E367,Data_Cleaning!$B$6:$B$50,Data_Cleaning!$C$6:$C$50)</f>
        <v>Girona​</v>
      </c>
      <c r="G367" s="36" t="str" cm="1">
        <f t="array" ref="G367">_xlfn.XLOOKUP(TRUE,ISNUMBER(SEARCH(Data_Cleaning!$F$6:$F$36,C367)),Data_Cleaning!$G$6:$G$36,"Other",0)</f>
        <v>Double Degree</v>
      </c>
      <c r="H367" s="24" t="s">
        <v>795</v>
      </c>
      <c r="I367" s="12">
        <v>9300</v>
      </c>
      <c r="J367" s="12">
        <v>5000</v>
      </c>
      <c r="K367" s="12">
        <v>8160</v>
      </c>
      <c r="L367" s="12">
        <v>5000</v>
      </c>
    </row>
    <row r="368" spans="2:12" ht="15" customHeight="1">
      <c r="B368" s="10">
        <v>81077</v>
      </c>
      <c r="C368" s="22" t="s">
        <v>586</v>
      </c>
      <c r="D368" s="11" t="s">
        <v>23</v>
      </c>
      <c r="E368" s="25" t="s">
        <v>686</v>
      </c>
      <c r="F368" s="36" t="str">
        <f>+_xlfn.XLOOKUP(E368,Data_Cleaning!$B$6:$B$50,Data_Cleaning!$C$6:$C$50)</f>
        <v>Girona​</v>
      </c>
      <c r="G368" s="36" t="str" cm="1">
        <f t="array" ref="G368">_xlfn.XLOOKUP(TRUE,ISNUMBER(SEARCH(Data_Cleaning!$F$6:$F$36,C368)),Data_Cleaning!$G$6:$G$36,"Other",0)</f>
        <v>Double Degree</v>
      </c>
      <c r="H368" s="24" t="s">
        <v>795</v>
      </c>
      <c r="I368" s="12">
        <v>9308</v>
      </c>
      <c r="J368" s="12">
        <v>5000</v>
      </c>
      <c r="K368" s="12">
        <v>5000</v>
      </c>
      <c r="L368" s="12">
        <v>5000</v>
      </c>
    </row>
    <row r="369" spans="2:12" ht="15" customHeight="1">
      <c r="B369" s="10">
        <v>31052</v>
      </c>
      <c r="C369" s="22" t="s">
        <v>259</v>
      </c>
      <c r="D369" s="11" t="s">
        <v>58</v>
      </c>
      <c r="E369" s="25" t="s">
        <v>713</v>
      </c>
      <c r="F369" s="36" t="str">
        <f>+_xlfn.XLOOKUP(E369,Data_Cleaning!$B$6:$B$50,Data_Cleaning!$C$6:$C$50)</f>
        <v>Barcelona​</v>
      </c>
      <c r="G369" s="36" t="str" cm="1">
        <f t="array" ref="G369">_xlfn.XLOOKUP(TRUE,ISNUMBER(SEARCH(Data_Cleaning!$F$6:$F$36,C369)),Data_Cleaning!$G$6:$G$36,"Other",0)</f>
        <v>Engineering and Architecture</v>
      </c>
      <c r="H369" s="24" t="str">
        <f>+_xlfn.XLOOKUP(G369,Data_Cleaning!$J$6:$J$11,Data_Cleaning!$K$6:$K$11)</f>
        <v>Science and Technology</v>
      </c>
      <c r="I369" s="12">
        <v>9326</v>
      </c>
      <c r="J369" s="12">
        <v>5000</v>
      </c>
      <c r="K369" s="12">
        <v>5000</v>
      </c>
      <c r="L369" s="12">
        <v>5000</v>
      </c>
    </row>
    <row r="370" spans="2:12" ht="15" customHeight="1">
      <c r="B370" s="10">
        <v>41011</v>
      </c>
      <c r="C370" s="22" t="s">
        <v>156</v>
      </c>
      <c r="D370" s="11" t="s">
        <v>11</v>
      </c>
      <c r="E370" s="25" t="s">
        <v>684</v>
      </c>
      <c r="F370" s="36" t="str">
        <f>+_xlfn.XLOOKUP(E370,Data_Cleaning!$B$6:$B$50,Data_Cleaning!$C$6:$C$50)</f>
        <v>Barcelona​</v>
      </c>
      <c r="G370" s="36" t="s">
        <v>762</v>
      </c>
      <c r="H370" s="24" t="str">
        <f>+_xlfn.XLOOKUP(G370,Data_Cleaning!$J$6:$J$11,Data_Cleaning!$K$6:$K$11)</f>
        <v>Social Sciences</v>
      </c>
      <c r="I370" s="12">
        <v>9334</v>
      </c>
      <c r="J370" s="12">
        <v>5250</v>
      </c>
      <c r="K370" s="12">
        <v>5000</v>
      </c>
      <c r="L370" s="12">
        <v>5000</v>
      </c>
    </row>
    <row r="371" spans="2:12" ht="15" customHeight="1">
      <c r="B371" s="10">
        <v>71024</v>
      </c>
      <c r="C371" s="22" t="s">
        <v>549</v>
      </c>
      <c r="D371" s="11" t="s">
        <v>18</v>
      </c>
      <c r="E371" s="25" t="s">
        <v>696</v>
      </c>
      <c r="F371" s="36" t="str">
        <f>+_xlfn.XLOOKUP(E371,Data_Cleaning!$B$6:$B$50,Data_Cleaning!$C$6:$C$50)</f>
        <v>Tarragona​</v>
      </c>
      <c r="G371" s="36" t="str" cm="1">
        <f t="array" ref="G371">_xlfn.XLOOKUP(TRUE,ISNUMBER(SEARCH(Data_Cleaning!$F$6:$F$36,C371)),Data_Cleaning!$G$6:$G$36,"Other",0)</f>
        <v>Sciences</v>
      </c>
      <c r="H371" s="24" t="str">
        <f>+_xlfn.XLOOKUP(G371,Data_Cleaning!$J$6:$J$11,Data_Cleaning!$K$6:$K$11)</f>
        <v>Science and Technology</v>
      </c>
      <c r="I371" s="12">
        <v>9342</v>
      </c>
      <c r="J371" s="12">
        <v>5000</v>
      </c>
      <c r="K371" s="12">
        <v>5000</v>
      </c>
      <c r="L371" s="12">
        <v>5000</v>
      </c>
    </row>
    <row r="372" spans="2:12" ht="15" customHeight="1">
      <c r="B372" s="10">
        <v>11033</v>
      </c>
      <c r="C372" s="22" t="s">
        <v>15</v>
      </c>
      <c r="D372" s="11" t="s">
        <v>16</v>
      </c>
      <c r="E372" s="25" t="s">
        <v>684</v>
      </c>
      <c r="F372" s="36" t="str">
        <f>+_xlfn.XLOOKUP(E372,Data_Cleaning!$B$6:$B$50,Data_Cleaning!$C$6:$C$50)</f>
        <v>Barcelona​</v>
      </c>
      <c r="G372" s="36" t="str" cm="1">
        <f t="array" ref="G372">_xlfn.XLOOKUP(TRUE,ISNUMBER(SEARCH(Data_Cleaning!$F$6:$F$36,C372)),Data_Cleaning!$G$6:$G$36,"Other",0)</f>
        <v>Social Sciences and Law</v>
      </c>
      <c r="H372" s="24" t="str">
        <f>+_xlfn.XLOOKUP(G372,Data_Cleaning!$J$6:$J$11,Data_Cleaning!$K$6:$K$11)</f>
        <v>Social Sciences</v>
      </c>
      <c r="I372" s="12">
        <v>9348</v>
      </c>
      <c r="J372" s="12">
        <v>5000</v>
      </c>
      <c r="K372" s="12">
        <v>5000</v>
      </c>
      <c r="L372" s="12">
        <v>5000</v>
      </c>
    </row>
    <row r="373" spans="2:12" ht="15" customHeight="1">
      <c r="B373" s="10">
        <v>21096</v>
      </c>
      <c r="C373" s="22" t="s">
        <v>525</v>
      </c>
      <c r="D373" s="11" t="s">
        <v>20</v>
      </c>
      <c r="E373" s="25" t="s">
        <v>685</v>
      </c>
      <c r="F373" s="36" t="str">
        <f>+_xlfn.XLOOKUP(E373,Data_Cleaning!$B$6:$B$50,Data_Cleaning!$C$6:$C$50)</f>
        <v>Barcelona​</v>
      </c>
      <c r="G373" s="36" t="s">
        <v>775</v>
      </c>
      <c r="H373" s="24" t="str">
        <f>+_xlfn.XLOOKUP(G373,Data_Cleaning!$J$6:$J$11,Data_Cleaning!$K$6:$K$11)</f>
        <v>Arts and Humanities</v>
      </c>
      <c r="I373" s="12">
        <v>9360</v>
      </c>
      <c r="J373" s="12">
        <v>5000</v>
      </c>
      <c r="K373" s="12">
        <v>5000</v>
      </c>
      <c r="L373" s="12">
        <v>5000</v>
      </c>
    </row>
    <row r="374" spans="2:12" ht="15" customHeight="1">
      <c r="B374" s="10">
        <v>11017</v>
      </c>
      <c r="C374" s="22" t="s">
        <v>299</v>
      </c>
      <c r="D374" s="11" t="s">
        <v>16</v>
      </c>
      <c r="E374" s="25" t="s">
        <v>684</v>
      </c>
      <c r="F374" s="36" t="str">
        <f>+_xlfn.XLOOKUP(E374,Data_Cleaning!$B$6:$B$50,Data_Cleaning!$C$6:$C$50)</f>
        <v>Barcelona​</v>
      </c>
      <c r="G374" s="36" t="str" cm="1">
        <f t="array" ref="G374">_xlfn.XLOOKUP(TRUE,ISNUMBER(SEARCH(Data_Cleaning!$F$6:$F$36,C374)),Data_Cleaning!$G$6:$G$36,"Other",0)</f>
        <v>Engineering and Architecture</v>
      </c>
      <c r="H374" s="24" t="str">
        <f>+_xlfn.XLOOKUP(G374,Data_Cleaning!$J$6:$J$11,Data_Cleaning!$K$6:$K$11)</f>
        <v>Science and Technology</v>
      </c>
      <c r="I374" s="12">
        <v>9370</v>
      </c>
      <c r="J374" s="12">
        <v>5000</v>
      </c>
      <c r="K374" s="12">
        <v>5000</v>
      </c>
      <c r="L374" s="12">
        <v>5000</v>
      </c>
    </row>
    <row r="375" spans="2:12" ht="15" customHeight="1">
      <c r="B375" s="10">
        <v>71055</v>
      </c>
      <c r="C375" s="22" t="s">
        <v>36</v>
      </c>
      <c r="D375" s="11" t="s">
        <v>18</v>
      </c>
      <c r="E375" s="25" t="s">
        <v>693</v>
      </c>
      <c r="F375" s="36" t="str">
        <f>+_xlfn.XLOOKUP(E375,Data_Cleaning!$B$6:$B$50,Data_Cleaning!$C$6:$C$50)</f>
        <v>Tarragona​</v>
      </c>
      <c r="G375" s="36" t="str" cm="1">
        <f t="array" ref="G375">_xlfn.XLOOKUP(TRUE,ISNUMBER(SEARCH(Data_Cleaning!$F$6:$F$36,C375)),Data_Cleaning!$G$6:$G$36,"Other",0)</f>
        <v>Double Degree</v>
      </c>
      <c r="H375" s="24" t="s">
        <v>795</v>
      </c>
      <c r="I375" s="12">
        <v>9386</v>
      </c>
      <c r="J375" s="12">
        <v>5000</v>
      </c>
      <c r="K375" s="12">
        <v>5000</v>
      </c>
      <c r="L375" s="12">
        <v>5000</v>
      </c>
    </row>
    <row r="376" spans="2:12" ht="15" customHeight="1">
      <c r="B376" s="10">
        <v>61007</v>
      </c>
      <c r="C376" s="22" t="s">
        <v>115</v>
      </c>
      <c r="D376" s="11" t="s">
        <v>25</v>
      </c>
      <c r="E376" s="25" t="s">
        <v>688</v>
      </c>
      <c r="F376" s="36" t="str">
        <f>+_xlfn.XLOOKUP(E376,Data_Cleaning!$B$6:$B$50,Data_Cleaning!$C$6:$C$50)</f>
        <v>Lleida​</v>
      </c>
      <c r="G376" s="36" t="str" cm="1">
        <f t="array" ref="G376">_xlfn.XLOOKUP(TRUE,ISNUMBER(SEARCH(Data_Cleaning!$F$6:$F$36,C376)),Data_Cleaning!$G$6:$G$36,"Other",0)</f>
        <v>Sciences</v>
      </c>
      <c r="H376" s="24" t="str">
        <f>+_xlfn.XLOOKUP(G376,Data_Cleaning!$J$6:$J$11,Data_Cleaning!$K$6:$K$11)</f>
        <v>Science and Technology</v>
      </c>
      <c r="I376" s="12">
        <v>9386</v>
      </c>
      <c r="J376" s="12">
        <v>5000</v>
      </c>
      <c r="K376" s="12">
        <v>7937</v>
      </c>
      <c r="L376" s="12">
        <v>5000</v>
      </c>
    </row>
    <row r="377" spans="2:12" ht="15" customHeight="1">
      <c r="B377" s="10">
        <v>21121</v>
      </c>
      <c r="C377" s="22" t="s">
        <v>144</v>
      </c>
      <c r="D377" s="11" t="s">
        <v>20</v>
      </c>
      <c r="E377" s="25" t="s">
        <v>685</v>
      </c>
      <c r="F377" s="36" t="str">
        <f>+_xlfn.XLOOKUP(E377,Data_Cleaning!$B$6:$B$50,Data_Cleaning!$C$6:$C$50)</f>
        <v>Barcelona​</v>
      </c>
      <c r="G377" s="36" t="str" cm="1">
        <f t="array" ref="G377">_xlfn.XLOOKUP(TRUE,ISNUMBER(SEARCH(Data_Cleaning!$F$6:$F$36,C377)),Data_Cleaning!$G$6:$G$36,"Other",0)</f>
        <v>Social Sciences and Law</v>
      </c>
      <c r="H377" s="24" t="str">
        <f>+_xlfn.XLOOKUP(G377,Data_Cleaning!$J$6:$J$11,Data_Cleaning!$K$6:$K$11)</f>
        <v>Social Sciences</v>
      </c>
      <c r="I377" s="12">
        <v>9390</v>
      </c>
      <c r="J377" s="12">
        <v>5000</v>
      </c>
      <c r="K377" s="12">
        <v>5000</v>
      </c>
      <c r="L377" s="12">
        <v>5000</v>
      </c>
    </row>
    <row r="378" spans="2:12" ht="15" customHeight="1">
      <c r="B378" s="10">
        <v>31011</v>
      </c>
      <c r="C378" s="22" t="s">
        <v>276</v>
      </c>
      <c r="D378" s="11" t="s">
        <v>58</v>
      </c>
      <c r="E378" s="25" t="s">
        <v>711</v>
      </c>
      <c r="F378" s="36" t="str">
        <f>+_xlfn.XLOOKUP(E378,Data_Cleaning!$B$6:$B$50,Data_Cleaning!$C$6:$C$50)</f>
        <v>Barcelona​</v>
      </c>
      <c r="G378" s="36" t="str" cm="1">
        <f t="array" ref="G378">_xlfn.XLOOKUP(TRUE,ISNUMBER(SEARCH(Data_Cleaning!$F$6:$F$36,C378)),Data_Cleaning!$G$6:$G$36,"Other",0)</f>
        <v>Engineering and Architecture</v>
      </c>
      <c r="H378" s="24" t="str">
        <f>+_xlfn.XLOOKUP(G378,Data_Cleaning!$J$6:$J$11,Data_Cleaning!$K$6:$K$11)</f>
        <v>Science and Technology</v>
      </c>
      <c r="I378" s="12">
        <v>9424</v>
      </c>
      <c r="J378" s="12">
        <v>5000</v>
      </c>
      <c r="K378" s="12">
        <v>5000</v>
      </c>
      <c r="L378" s="12">
        <v>5000</v>
      </c>
    </row>
    <row r="379" spans="2:12" ht="15" customHeight="1">
      <c r="B379" s="10">
        <v>11005</v>
      </c>
      <c r="C379" s="22" t="s">
        <v>103</v>
      </c>
      <c r="D379" s="11" t="s">
        <v>16</v>
      </c>
      <c r="E379" s="25" t="s">
        <v>684</v>
      </c>
      <c r="F379" s="36" t="str">
        <f>+_xlfn.XLOOKUP(E379,Data_Cleaning!$B$6:$B$50,Data_Cleaning!$C$6:$C$50)</f>
        <v>Barcelona​</v>
      </c>
      <c r="G379" s="36" t="str" cm="1">
        <f t="array" ref="G379">_xlfn.XLOOKUP(TRUE,ISNUMBER(SEARCH(Data_Cleaning!$F$6:$F$36,C379)),Data_Cleaning!$G$6:$G$36,"Other",0)</f>
        <v>Sciences</v>
      </c>
      <c r="H379" s="24" t="str">
        <f>+_xlfn.XLOOKUP(G379,Data_Cleaning!$J$6:$J$11,Data_Cleaning!$K$6:$K$11)</f>
        <v>Science and Technology</v>
      </c>
      <c r="I379" s="12">
        <v>9464</v>
      </c>
      <c r="J379" s="12">
        <v>5000</v>
      </c>
      <c r="K379" s="12">
        <v>5000</v>
      </c>
      <c r="L379" s="12">
        <v>5000</v>
      </c>
    </row>
    <row r="380" spans="2:12" ht="15" customHeight="1">
      <c r="B380" s="10">
        <v>71087</v>
      </c>
      <c r="C380" s="23" t="s">
        <v>748</v>
      </c>
      <c r="D380" s="11" t="s">
        <v>18</v>
      </c>
      <c r="E380" s="25" t="s">
        <v>690</v>
      </c>
      <c r="F380" s="36" t="str">
        <f>+_xlfn.XLOOKUP(E380,Data_Cleaning!$B$6:$B$50,Data_Cleaning!$C$6:$C$50)</f>
        <v>Tarragona​</v>
      </c>
      <c r="G380" s="36" t="str" cm="1">
        <f t="array" ref="G380">_xlfn.XLOOKUP(TRUE,ISNUMBER(SEARCH(Data_Cleaning!$F$6:$F$36,C380)),Data_Cleaning!$G$6:$G$36,"Other",0)</f>
        <v>Engineering and Architecture</v>
      </c>
      <c r="H380" s="24" t="str">
        <f>+_xlfn.XLOOKUP(G380,Data_Cleaning!$J$6:$J$11,Data_Cleaning!$K$6:$K$11)</f>
        <v>Science and Technology</v>
      </c>
      <c r="I380" s="12">
        <v>9468</v>
      </c>
      <c r="J380" s="12">
        <v>5000</v>
      </c>
      <c r="K380" s="12">
        <v>5000</v>
      </c>
      <c r="L380" s="12">
        <v>5000</v>
      </c>
    </row>
    <row r="381" spans="2:12" ht="15" customHeight="1">
      <c r="B381" s="10">
        <v>81002</v>
      </c>
      <c r="C381" s="22" t="s">
        <v>542</v>
      </c>
      <c r="D381" s="11" t="s">
        <v>23</v>
      </c>
      <c r="E381" s="25" t="s">
        <v>686</v>
      </c>
      <c r="F381" s="36" t="str">
        <f>+_xlfn.XLOOKUP(E381,Data_Cleaning!$B$6:$B$50,Data_Cleaning!$C$6:$C$50)</f>
        <v>Girona​</v>
      </c>
      <c r="G381" s="36" t="str" cm="1">
        <f t="array" ref="G381">_xlfn.XLOOKUP(TRUE,ISNUMBER(SEARCH(Data_Cleaning!$F$6:$F$36,C381)),Data_Cleaning!$G$6:$G$36,"Other",0)</f>
        <v>Social Sciences and Law</v>
      </c>
      <c r="H381" s="24" t="str">
        <f>+_xlfn.XLOOKUP(G381,Data_Cleaning!$J$6:$J$11,Data_Cleaning!$K$6:$K$11)</f>
        <v>Social Sciences</v>
      </c>
      <c r="I381" s="12">
        <v>9480</v>
      </c>
      <c r="J381" s="12">
        <v>5000</v>
      </c>
      <c r="K381" s="12">
        <v>5000</v>
      </c>
      <c r="L381" s="12">
        <v>5000</v>
      </c>
    </row>
    <row r="382" spans="2:12" ht="15" customHeight="1">
      <c r="B382" s="10">
        <v>21106</v>
      </c>
      <c r="C382" s="23" t="s">
        <v>649</v>
      </c>
      <c r="D382" s="11" t="s">
        <v>20</v>
      </c>
      <c r="E382" s="25" t="s">
        <v>685</v>
      </c>
      <c r="F382" s="36" t="str">
        <f>+_xlfn.XLOOKUP(E382,Data_Cleaning!$B$6:$B$50,Data_Cleaning!$C$6:$C$50)</f>
        <v>Barcelona​</v>
      </c>
      <c r="G382" s="36" t="str" cm="1">
        <f t="array" ref="G382">_xlfn.XLOOKUP(TRUE,ISNUMBER(SEARCH(Data_Cleaning!$F$6:$F$36,C382)),Data_Cleaning!$G$6:$G$36,"Other",0)</f>
        <v>Double Degree</v>
      </c>
      <c r="H382" s="24" t="s">
        <v>794</v>
      </c>
      <c r="I382" s="12">
        <v>9482</v>
      </c>
      <c r="J382" s="12">
        <v>5000</v>
      </c>
      <c r="K382" s="12">
        <v>5000</v>
      </c>
      <c r="L382" s="12">
        <v>5000</v>
      </c>
    </row>
    <row r="383" spans="2:12" ht="15" customHeight="1">
      <c r="B383" s="10">
        <v>21110</v>
      </c>
      <c r="C383" s="22" t="s">
        <v>191</v>
      </c>
      <c r="D383" s="11" t="s">
        <v>20</v>
      </c>
      <c r="E383" s="25" t="s">
        <v>685</v>
      </c>
      <c r="F383" s="36" t="str">
        <f>+_xlfn.XLOOKUP(E383,Data_Cleaning!$B$6:$B$50,Data_Cleaning!$C$6:$C$50)</f>
        <v>Barcelona​</v>
      </c>
      <c r="G383" s="40" t="str" cm="1">
        <f t="array" ref="G383">_xlfn.XLOOKUP(TRUE,ISNUMBER(SEARCH(Data_Cleaning!$F$6:$F$36,C383)),Data_Cleaning!$G$6:$G$36,"Other",0)</f>
        <v>Social Sciences and Law</v>
      </c>
      <c r="H383" s="24" t="str">
        <f>+_xlfn.XLOOKUP(G383,Data_Cleaning!$J$6:$J$11,Data_Cleaning!$K$6:$K$11)</f>
        <v>Social Sciences</v>
      </c>
      <c r="I383" s="12">
        <v>9500</v>
      </c>
      <c r="J383" s="12">
        <v>5000</v>
      </c>
      <c r="K383" s="12">
        <v>5000</v>
      </c>
      <c r="L383" s="12">
        <v>5000</v>
      </c>
    </row>
    <row r="384" spans="2:12" ht="15" customHeight="1">
      <c r="B384" s="10">
        <v>21128</v>
      </c>
      <c r="C384" s="22" t="s">
        <v>344</v>
      </c>
      <c r="D384" s="11" t="s">
        <v>20</v>
      </c>
      <c r="E384" s="25" t="s">
        <v>685</v>
      </c>
      <c r="F384" s="36" t="str">
        <f>+_xlfn.XLOOKUP(E384,Data_Cleaning!$B$6:$B$50,Data_Cleaning!$C$6:$C$50)</f>
        <v>Barcelona​</v>
      </c>
      <c r="G384" s="40" t="s">
        <v>756</v>
      </c>
      <c r="H384" s="24" t="str">
        <f>+_xlfn.XLOOKUP(G384,Data_Cleaning!$J$6:$J$11,Data_Cleaning!$K$6:$K$11)</f>
        <v>Science and Technology</v>
      </c>
      <c r="I384" s="12">
        <v>9500</v>
      </c>
      <c r="J384" s="12">
        <v>5000</v>
      </c>
      <c r="K384" s="12">
        <v>7570</v>
      </c>
      <c r="L384" s="12">
        <v>5000</v>
      </c>
    </row>
    <row r="385" spans="2:12" ht="15" customHeight="1">
      <c r="B385" s="10">
        <v>21068</v>
      </c>
      <c r="C385" s="22" t="s">
        <v>152</v>
      </c>
      <c r="D385" s="11" t="s">
        <v>20</v>
      </c>
      <c r="E385" s="25" t="s">
        <v>685</v>
      </c>
      <c r="F385" s="36" t="str">
        <f>+_xlfn.XLOOKUP(E385,Data_Cleaning!$B$6:$B$50,Data_Cleaning!$C$6:$C$50)</f>
        <v>Barcelona​</v>
      </c>
      <c r="G385" s="40" t="s">
        <v>762</v>
      </c>
      <c r="H385" s="24" t="str">
        <f>+_xlfn.XLOOKUP(G385,Data_Cleaning!$J$6:$J$11,Data_Cleaning!$K$6:$K$11)</f>
        <v>Social Sciences</v>
      </c>
      <c r="I385" s="12">
        <v>9509</v>
      </c>
      <c r="J385" s="12">
        <v>5000</v>
      </c>
      <c r="K385" s="12">
        <v>5000</v>
      </c>
      <c r="L385" s="12">
        <v>5000</v>
      </c>
    </row>
    <row r="386" spans="2:12" ht="15" customHeight="1">
      <c r="B386" s="10">
        <v>41063</v>
      </c>
      <c r="C386" s="23" t="s">
        <v>679</v>
      </c>
      <c r="D386" s="11" t="s">
        <v>11</v>
      </c>
      <c r="E386" s="25" t="s">
        <v>684</v>
      </c>
      <c r="F386" s="36" t="str">
        <f>+_xlfn.XLOOKUP(E386,Data_Cleaning!$B$6:$B$50,Data_Cleaning!$C$6:$C$50)</f>
        <v>Barcelona​</v>
      </c>
      <c r="G386" s="40" t="str" cm="1">
        <f t="array" ref="G386">_xlfn.XLOOKUP(TRUE,ISNUMBER(SEARCH(Data_Cleaning!$F$6:$F$36,C386)),Data_Cleaning!$G$6:$G$36,"Other",0)</f>
        <v>Social Sciences and Law</v>
      </c>
      <c r="H386" s="24" t="str">
        <f>+_xlfn.XLOOKUP(G386,Data_Cleaning!$J$6:$J$11,Data_Cleaning!$K$6:$K$11)</f>
        <v>Social Sciences</v>
      </c>
      <c r="I386" s="12">
        <v>9526</v>
      </c>
      <c r="J386" s="12">
        <v>5000</v>
      </c>
      <c r="K386" s="12">
        <v>5000</v>
      </c>
      <c r="L386" s="12">
        <v>5000</v>
      </c>
    </row>
    <row r="387" spans="2:12" ht="15" customHeight="1">
      <c r="B387" s="10">
        <v>21086</v>
      </c>
      <c r="C387" s="22" t="s">
        <v>181</v>
      </c>
      <c r="D387" s="11" t="s">
        <v>20</v>
      </c>
      <c r="E387" s="25" t="s">
        <v>685</v>
      </c>
      <c r="F387" s="36" t="str">
        <f>+_xlfn.XLOOKUP(E387,Data_Cleaning!$B$6:$B$50,Data_Cleaning!$C$6:$C$50)</f>
        <v>Barcelona​</v>
      </c>
      <c r="G387" s="40" t="str" cm="1">
        <f t="array" ref="G387">_xlfn.XLOOKUP(TRUE,ISNUMBER(SEARCH(Data_Cleaning!$F$6:$F$36,C387)),Data_Cleaning!$G$6:$G$36,"Other",0)</f>
        <v>Social Sciences and Law</v>
      </c>
      <c r="H387" s="24" t="str">
        <f>+_xlfn.XLOOKUP(G387,Data_Cleaning!$J$6:$J$11,Data_Cleaning!$K$6:$K$11)</f>
        <v>Social Sciences</v>
      </c>
      <c r="I387" s="12">
        <v>9528</v>
      </c>
      <c r="J387" s="12">
        <v>5000</v>
      </c>
      <c r="K387" s="12">
        <v>7450</v>
      </c>
      <c r="L387" s="12">
        <v>6333</v>
      </c>
    </row>
    <row r="388" spans="2:12" ht="15" customHeight="1">
      <c r="B388" s="10">
        <v>21087</v>
      </c>
      <c r="C388" s="22" t="s">
        <v>229</v>
      </c>
      <c r="D388" s="11" t="s">
        <v>20</v>
      </c>
      <c r="E388" s="25" t="s">
        <v>707</v>
      </c>
      <c r="F388" s="36" t="str">
        <f>+_xlfn.XLOOKUP(E388,Data_Cleaning!$B$6:$B$50,Data_Cleaning!$C$6:$C$50)</f>
        <v>Barcelona​</v>
      </c>
      <c r="G388" s="40" t="str" cm="1">
        <f t="array" ref="G388">_xlfn.XLOOKUP(TRUE,ISNUMBER(SEARCH(Data_Cleaning!$F$6:$F$36,C388)),Data_Cleaning!$G$6:$G$36,"Other",0)</f>
        <v>Social Sciences and Law</v>
      </c>
      <c r="H388" s="24" t="str">
        <f>+_xlfn.XLOOKUP(G388,Data_Cleaning!$J$6:$J$11,Data_Cleaning!$K$6:$K$11)</f>
        <v>Social Sciences</v>
      </c>
      <c r="I388" s="12">
        <v>9528</v>
      </c>
      <c r="J388" s="12">
        <v>5000</v>
      </c>
      <c r="K388" s="12">
        <v>5000</v>
      </c>
      <c r="L388" s="12">
        <v>5000</v>
      </c>
    </row>
    <row r="389" spans="2:12" ht="15" customHeight="1">
      <c r="B389" s="10">
        <v>71022</v>
      </c>
      <c r="C389" s="22" t="s">
        <v>538</v>
      </c>
      <c r="D389" s="11" t="s">
        <v>18</v>
      </c>
      <c r="E389" s="25" t="s">
        <v>696</v>
      </c>
      <c r="F389" s="36" t="str">
        <f>+_xlfn.XLOOKUP(E389,Data_Cleaning!$B$6:$B$50,Data_Cleaning!$C$6:$C$50)</f>
        <v>Tarragona​</v>
      </c>
      <c r="G389" s="40" t="str" cm="1">
        <f t="array" ref="G389">_xlfn.XLOOKUP(TRUE,ISNUMBER(SEARCH(Data_Cleaning!$F$6:$F$36,C389)),Data_Cleaning!$G$6:$G$36,"Other",0)</f>
        <v>Health Sciences</v>
      </c>
      <c r="H389" s="24" t="str">
        <f>+_xlfn.XLOOKUP(G389,Data_Cleaning!$J$6:$J$11,Data_Cleaning!$K$6:$K$11)</f>
        <v>Science and Technology</v>
      </c>
      <c r="I389" s="12">
        <v>9540</v>
      </c>
      <c r="J389" s="12">
        <v>5625</v>
      </c>
      <c r="K389" s="12">
        <v>7540</v>
      </c>
      <c r="L389" s="12">
        <v>6333</v>
      </c>
    </row>
    <row r="390" spans="2:12" ht="15" customHeight="1">
      <c r="B390" s="10">
        <v>81054</v>
      </c>
      <c r="C390" s="22" t="s">
        <v>132</v>
      </c>
      <c r="D390" s="11" t="s">
        <v>23</v>
      </c>
      <c r="E390" s="25" t="s">
        <v>686</v>
      </c>
      <c r="F390" s="36" t="str">
        <f>+_xlfn.XLOOKUP(E390,Data_Cleaning!$B$6:$B$50,Data_Cleaning!$C$6:$C$50)</f>
        <v>Girona​</v>
      </c>
      <c r="G390" s="40" t="str" cm="1">
        <f t="array" ref="G390">_xlfn.XLOOKUP(TRUE,ISNUMBER(SEARCH(Data_Cleaning!$F$6:$F$36,C390)),Data_Cleaning!$G$6:$G$36,"Other",0)</f>
        <v>Double Degree</v>
      </c>
      <c r="H390" s="24" t="s">
        <v>795</v>
      </c>
      <c r="I390" s="12">
        <v>9556</v>
      </c>
      <c r="J390" s="12">
        <v>5000</v>
      </c>
      <c r="K390" s="12">
        <v>5000</v>
      </c>
      <c r="L390" s="12">
        <v>5000</v>
      </c>
    </row>
    <row r="391" spans="2:12" ht="15" customHeight="1">
      <c r="B391" s="10">
        <v>11012</v>
      </c>
      <c r="C391" s="22" t="s">
        <v>179</v>
      </c>
      <c r="D391" s="11" t="s">
        <v>16</v>
      </c>
      <c r="E391" s="25" t="s">
        <v>684</v>
      </c>
      <c r="F391" s="36" t="str">
        <f>+_xlfn.XLOOKUP(E391,Data_Cleaning!$B$6:$B$50,Data_Cleaning!$C$6:$C$50)</f>
        <v>Barcelona​</v>
      </c>
      <c r="G391" s="40" t="str" cm="1">
        <f t="array" ref="G391">_xlfn.XLOOKUP(TRUE,ISNUMBER(SEARCH(Data_Cleaning!$F$6:$F$36,C391)),Data_Cleaning!$G$6:$G$36,"Other",0)</f>
        <v>Social Sciences and Law</v>
      </c>
      <c r="H391" s="24" t="str">
        <f>+_xlfn.XLOOKUP(G391,Data_Cleaning!$J$6:$J$11,Data_Cleaning!$K$6:$K$11)</f>
        <v>Social Sciences</v>
      </c>
      <c r="I391" s="12">
        <v>9584</v>
      </c>
      <c r="J391" s="12">
        <v>5000</v>
      </c>
      <c r="K391" s="12">
        <v>7300</v>
      </c>
      <c r="L391" s="12">
        <v>5000</v>
      </c>
    </row>
    <row r="392" spans="2:12" ht="15" customHeight="1">
      <c r="B392" s="10">
        <v>21090</v>
      </c>
      <c r="C392" s="22" t="s">
        <v>339</v>
      </c>
      <c r="D392" s="11" t="s">
        <v>20</v>
      </c>
      <c r="E392" s="25" t="s">
        <v>685</v>
      </c>
      <c r="F392" s="36" t="str">
        <f>+_xlfn.XLOOKUP(E392,Data_Cleaning!$B$6:$B$50,Data_Cleaning!$C$6:$C$50)</f>
        <v>Barcelona​</v>
      </c>
      <c r="G392" s="40" t="str" cm="1">
        <f t="array" ref="G392">_xlfn.XLOOKUP(TRUE,ISNUMBER(SEARCH(Data_Cleaning!$F$6:$F$36,C392)),Data_Cleaning!$G$6:$G$36,"Other",0)</f>
        <v>Engineering and Architecture</v>
      </c>
      <c r="H392" s="24" t="str">
        <f>+_xlfn.XLOOKUP(G392,Data_Cleaning!$J$6:$J$11,Data_Cleaning!$K$6:$K$11)</f>
        <v>Science and Technology</v>
      </c>
      <c r="I392" s="12">
        <v>9596</v>
      </c>
      <c r="J392" s="12">
        <v>5000</v>
      </c>
      <c r="K392" s="12">
        <v>5000</v>
      </c>
      <c r="L392" s="12">
        <v>5000</v>
      </c>
    </row>
    <row r="393" spans="2:12" ht="15" customHeight="1">
      <c r="B393" s="10">
        <v>41021</v>
      </c>
      <c r="C393" s="22" t="s">
        <v>443</v>
      </c>
      <c r="D393" s="11" t="s">
        <v>11</v>
      </c>
      <c r="E393" s="25" t="s">
        <v>684</v>
      </c>
      <c r="F393" s="36" t="str">
        <f>+_xlfn.XLOOKUP(E393,Data_Cleaning!$B$6:$B$50,Data_Cleaning!$C$6:$C$50)</f>
        <v>Barcelona​</v>
      </c>
      <c r="G393" s="40" t="str" cm="1">
        <f t="array" ref="G393">_xlfn.XLOOKUP(TRUE,ISNUMBER(SEARCH(Data_Cleaning!$F$6:$F$36,C393)),Data_Cleaning!$G$6:$G$36,"Other",0)</f>
        <v>Health Sciences</v>
      </c>
      <c r="H393" s="24" t="str">
        <f>+_xlfn.XLOOKUP(G393,Data_Cleaning!$J$6:$J$11,Data_Cleaning!$K$6:$K$11)</f>
        <v>Science and Technology</v>
      </c>
      <c r="I393" s="12">
        <v>9636</v>
      </c>
      <c r="J393" s="12">
        <v>5813</v>
      </c>
      <c r="K393" s="12">
        <v>7294</v>
      </c>
      <c r="L393" s="12">
        <v>5000</v>
      </c>
    </row>
    <row r="394" spans="2:12" ht="15" customHeight="1">
      <c r="B394" s="10">
        <v>71023</v>
      </c>
      <c r="C394" s="22" t="s">
        <v>543</v>
      </c>
      <c r="D394" s="11" t="s">
        <v>18</v>
      </c>
      <c r="E394" s="25" t="s">
        <v>696</v>
      </c>
      <c r="F394" s="36" t="str">
        <f>+_xlfn.XLOOKUP(E394,Data_Cleaning!$B$6:$B$50,Data_Cleaning!$C$6:$C$50)</f>
        <v>Tarragona​</v>
      </c>
      <c r="G394" s="40" t="str" cm="1">
        <f t="array" ref="G394">_xlfn.XLOOKUP(TRUE,ISNUMBER(SEARCH(Data_Cleaning!$F$6:$F$36,C394)),Data_Cleaning!$G$6:$G$36,"Other",0)</f>
        <v>Social Sciences and Law</v>
      </c>
      <c r="H394" s="24" t="str">
        <f>+_xlfn.XLOOKUP(G394,Data_Cleaning!$J$6:$J$11,Data_Cleaning!$K$6:$K$11)</f>
        <v>Social Sciences</v>
      </c>
      <c r="I394" s="12">
        <v>9690</v>
      </c>
      <c r="J394" s="12">
        <v>5000</v>
      </c>
      <c r="K394" s="12">
        <v>5000</v>
      </c>
      <c r="L394" s="12">
        <v>5000</v>
      </c>
    </row>
    <row r="395" spans="2:12" ht="15" customHeight="1">
      <c r="B395" s="10">
        <v>21125</v>
      </c>
      <c r="C395" s="23" t="s">
        <v>608</v>
      </c>
      <c r="D395" s="11" t="s">
        <v>20</v>
      </c>
      <c r="E395" s="25" t="s">
        <v>685</v>
      </c>
      <c r="F395" s="36" t="str">
        <f>+_xlfn.XLOOKUP(E395,Data_Cleaning!$B$6:$B$50,Data_Cleaning!$C$6:$C$50)</f>
        <v>Barcelona​</v>
      </c>
      <c r="G395" s="36" t="str" cm="1">
        <f t="array" ref="G395">_xlfn.XLOOKUP(TRUE,ISNUMBER(SEARCH(Data_Cleaning!$F$6:$F$36,C395)),Data_Cleaning!$G$6:$G$36,"Other",0)</f>
        <v>Double Degree</v>
      </c>
      <c r="H395" s="24" t="s">
        <v>795</v>
      </c>
      <c r="I395" s="12">
        <v>9694</v>
      </c>
      <c r="J395" s="12">
        <v>5000</v>
      </c>
      <c r="K395" s="12">
        <v>5000</v>
      </c>
      <c r="L395" s="12">
        <v>5000</v>
      </c>
    </row>
    <row r="396" spans="2:12" ht="15" customHeight="1">
      <c r="B396" s="10">
        <v>81033</v>
      </c>
      <c r="C396" s="22" t="s">
        <v>536</v>
      </c>
      <c r="D396" s="11" t="s">
        <v>23</v>
      </c>
      <c r="E396" s="25" t="s">
        <v>686</v>
      </c>
      <c r="F396" s="36" t="str">
        <f>+_xlfn.XLOOKUP(E396,Data_Cleaning!$B$6:$B$50,Data_Cleaning!$C$6:$C$50)</f>
        <v>Girona​</v>
      </c>
      <c r="G396" s="36" t="str" cm="1">
        <f t="array" ref="G396">_xlfn.XLOOKUP(TRUE,ISNUMBER(SEARCH(Data_Cleaning!$F$6:$F$36,C396)),Data_Cleaning!$G$6:$G$36,"Other",0)</f>
        <v>Health Sciences</v>
      </c>
      <c r="H396" s="24" t="str">
        <f>+_xlfn.XLOOKUP(G396,Data_Cleaning!$J$6:$J$11,Data_Cleaning!$K$6:$K$11)</f>
        <v>Science and Technology</v>
      </c>
      <c r="I396" s="12">
        <v>9710</v>
      </c>
      <c r="J396" s="12">
        <v>6625</v>
      </c>
      <c r="K396" s="12">
        <v>7910</v>
      </c>
      <c r="L396" s="12">
        <v>8000</v>
      </c>
    </row>
    <row r="397" spans="2:12" ht="15" customHeight="1">
      <c r="B397" s="10">
        <v>71007</v>
      </c>
      <c r="C397" s="22" t="s">
        <v>138</v>
      </c>
      <c r="D397" s="11" t="s">
        <v>18</v>
      </c>
      <c r="E397" s="25" t="s">
        <v>696</v>
      </c>
      <c r="F397" s="36" t="str">
        <f>+_xlfn.XLOOKUP(E397,Data_Cleaning!$B$6:$B$50,Data_Cleaning!$C$6:$C$50)</f>
        <v>Tarragona​</v>
      </c>
      <c r="G397" s="40" t="str" cm="1">
        <f t="array" ref="G397">_xlfn.XLOOKUP(TRUE,ISNUMBER(SEARCH(Data_Cleaning!$F$6:$F$36,C397)),Data_Cleaning!$G$6:$G$36,"Other",0)</f>
        <v>Social Sciences and Law</v>
      </c>
      <c r="H397" s="24" t="str">
        <f>+_xlfn.XLOOKUP(G397,Data_Cleaning!$J$6:$J$11,Data_Cleaning!$K$6:$K$11)</f>
        <v>Social Sciences</v>
      </c>
      <c r="I397" s="12">
        <v>9712</v>
      </c>
      <c r="J397" s="12">
        <v>5000</v>
      </c>
      <c r="K397" s="12">
        <v>6810</v>
      </c>
      <c r="L397" s="12">
        <v>5000</v>
      </c>
    </row>
    <row r="398" spans="2:12" ht="15" customHeight="1">
      <c r="B398" s="10">
        <v>31037</v>
      </c>
      <c r="C398" s="22" t="s">
        <v>325</v>
      </c>
      <c r="D398" s="11" t="s">
        <v>58</v>
      </c>
      <c r="E398" s="25" t="s">
        <v>715</v>
      </c>
      <c r="F398" s="36" t="str">
        <f>+_xlfn.XLOOKUP(E398,Data_Cleaning!$B$6:$B$50,Data_Cleaning!$C$6:$C$50)</f>
        <v>Barcelona​</v>
      </c>
      <c r="G398" s="36" t="str" cm="1">
        <f t="array" ref="G398">_xlfn.XLOOKUP(TRUE,ISNUMBER(SEARCH(Data_Cleaning!$F$6:$F$36,C398)),Data_Cleaning!$G$6:$G$36,"Other",0)</f>
        <v>Engineering and Architecture</v>
      </c>
      <c r="H398" s="24" t="str">
        <f>+_xlfn.XLOOKUP(G398,Data_Cleaning!$J$6:$J$11,Data_Cleaning!$K$6:$K$11)</f>
        <v>Science and Technology</v>
      </c>
      <c r="I398" s="12">
        <v>9736</v>
      </c>
      <c r="J398" s="12">
        <v>5000</v>
      </c>
      <c r="K398" s="12">
        <v>5000</v>
      </c>
      <c r="L398" s="12">
        <v>5000</v>
      </c>
    </row>
    <row r="399" spans="2:12" ht="15" customHeight="1">
      <c r="B399" s="10">
        <v>61020</v>
      </c>
      <c r="C399" s="22" t="s">
        <v>537</v>
      </c>
      <c r="D399" s="11" t="s">
        <v>25</v>
      </c>
      <c r="E399" s="25" t="s">
        <v>688</v>
      </c>
      <c r="F399" s="36" t="str">
        <f>+_xlfn.XLOOKUP(E399,Data_Cleaning!$B$6:$B$50,Data_Cleaning!$C$6:$C$50)</f>
        <v>Lleida​</v>
      </c>
      <c r="G399" s="40" t="str" cm="1">
        <f t="array" ref="G399">_xlfn.XLOOKUP(TRUE,ISNUMBER(SEARCH(Data_Cleaning!$F$6:$F$36,C399)),Data_Cleaning!$G$6:$G$36,"Other",0)</f>
        <v>Health Sciences</v>
      </c>
      <c r="H399" s="24" t="str">
        <f>+_xlfn.XLOOKUP(G399,Data_Cleaning!$J$6:$J$11,Data_Cleaning!$K$6:$K$11)</f>
        <v>Science and Technology</v>
      </c>
      <c r="I399" s="12">
        <v>9762</v>
      </c>
      <c r="J399" s="12">
        <v>5000</v>
      </c>
      <c r="K399" s="12">
        <v>7860</v>
      </c>
      <c r="L399" s="12">
        <v>6000</v>
      </c>
    </row>
    <row r="400" spans="2:12" ht="15" customHeight="1">
      <c r="B400" s="15">
        <v>11010</v>
      </c>
      <c r="C400" s="154" t="s">
        <v>150</v>
      </c>
      <c r="D400" s="14" t="s">
        <v>16</v>
      </c>
      <c r="E400" s="25" t="s">
        <v>684</v>
      </c>
      <c r="F400" s="36" t="str">
        <f>+_xlfn.XLOOKUP(E400,Data_Cleaning!$B$6:$B$50,Data_Cleaning!$C$6:$C$50)</f>
        <v>Barcelona​</v>
      </c>
      <c r="G400" s="36" t="s">
        <v>762</v>
      </c>
      <c r="H400" s="24" t="str">
        <f>+_xlfn.XLOOKUP(G400,Data_Cleaning!$J$6:$J$11,Data_Cleaning!$K$6:$K$11)</f>
        <v>Social Sciences</v>
      </c>
      <c r="I400" s="16">
        <v>9783</v>
      </c>
      <c r="J400" s="16">
        <v>5700</v>
      </c>
      <c r="K400" s="16">
        <v>7100</v>
      </c>
      <c r="L400" s="16">
        <v>5000</v>
      </c>
    </row>
    <row r="401" spans="2:12" ht="15" customHeight="1">
      <c r="B401" s="10">
        <v>21014</v>
      </c>
      <c r="C401" s="22" t="s">
        <v>19</v>
      </c>
      <c r="D401" s="11" t="s">
        <v>20</v>
      </c>
      <c r="E401" s="25" t="s">
        <v>685</v>
      </c>
      <c r="F401" s="36" t="str">
        <f>+_xlfn.XLOOKUP(E401,Data_Cleaning!$B$6:$B$50,Data_Cleaning!$C$6:$C$50)</f>
        <v>Barcelona​</v>
      </c>
      <c r="G401" s="36" t="str" cm="1">
        <f t="array" ref="G401">_xlfn.XLOOKUP(TRUE,ISNUMBER(SEARCH(Data_Cleaning!$F$6:$F$36,C401)),Data_Cleaning!$G$6:$G$36,"Other",0)</f>
        <v>Social Sciences and Law</v>
      </c>
      <c r="H401" s="24" t="str">
        <f>+_xlfn.XLOOKUP(G401,Data_Cleaning!$J$6:$J$11,Data_Cleaning!$K$6:$K$11)</f>
        <v>Social Sciences</v>
      </c>
      <c r="I401" s="12">
        <v>9804</v>
      </c>
      <c r="J401" s="12">
        <v>5000</v>
      </c>
      <c r="K401" s="12">
        <v>5000</v>
      </c>
      <c r="L401" s="12">
        <v>5000</v>
      </c>
    </row>
    <row r="402" spans="2:12" ht="15" customHeight="1">
      <c r="B402" s="10">
        <v>21082</v>
      </c>
      <c r="C402" s="22" t="s">
        <v>547</v>
      </c>
      <c r="D402" s="11" t="s">
        <v>20</v>
      </c>
      <c r="E402" s="25" t="s">
        <v>685</v>
      </c>
      <c r="F402" s="36" t="str">
        <f>+_xlfn.XLOOKUP(E402,Data_Cleaning!$B$6:$B$50,Data_Cleaning!$C$6:$C$50)</f>
        <v>Barcelona​</v>
      </c>
      <c r="G402" s="36" t="str" cm="1">
        <f t="array" ref="G402">_xlfn.XLOOKUP(TRUE,ISNUMBER(SEARCH(Data_Cleaning!$F$6:$F$36,C402)),Data_Cleaning!$G$6:$G$36,"Other",0)</f>
        <v>Sciences</v>
      </c>
      <c r="H402" s="24" t="str">
        <f>+_xlfn.XLOOKUP(G402,Data_Cleaning!$J$6:$J$11,Data_Cleaning!$K$6:$K$11)</f>
        <v>Science and Technology</v>
      </c>
      <c r="I402" s="12">
        <v>9804</v>
      </c>
      <c r="J402" s="12">
        <v>5000</v>
      </c>
      <c r="K402" s="12">
        <v>5000</v>
      </c>
      <c r="L402" s="12">
        <v>5000</v>
      </c>
    </row>
    <row r="403" spans="2:12" ht="15" customHeight="1">
      <c r="B403" s="10">
        <v>81053</v>
      </c>
      <c r="C403" s="22" t="s">
        <v>34</v>
      </c>
      <c r="D403" s="11" t="s">
        <v>23</v>
      </c>
      <c r="E403" s="25" t="s">
        <v>686</v>
      </c>
      <c r="F403" s="36" t="str">
        <f>+_xlfn.XLOOKUP(E403,Data_Cleaning!$B$6:$B$50,Data_Cleaning!$C$6:$C$50)</f>
        <v>Girona​</v>
      </c>
      <c r="G403" s="36" t="str" cm="1">
        <f t="array" ref="G403">_xlfn.XLOOKUP(TRUE,ISNUMBER(SEARCH(Data_Cleaning!$F$6:$F$36,C403)),Data_Cleaning!$G$6:$G$36,"Other",0)</f>
        <v>Double Degree</v>
      </c>
      <c r="H403" s="24" t="s">
        <v>795</v>
      </c>
      <c r="I403" s="12">
        <v>9838</v>
      </c>
      <c r="J403" s="12">
        <v>5000</v>
      </c>
      <c r="K403" s="12">
        <v>5000</v>
      </c>
      <c r="L403" s="12">
        <v>5000</v>
      </c>
    </row>
    <row r="404" spans="2:12" ht="15" customHeight="1">
      <c r="B404" s="10">
        <v>21081</v>
      </c>
      <c r="C404" s="22" t="s">
        <v>535</v>
      </c>
      <c r="D404" s="11" t="s">
        <v>20</v>
      </c>
      <c r="E404" s="25" t="s">
        <v>685</v>
      </c>
      <c r="F404" s="36" t="str">
        <f>+_xlfn.XLOOKUP(E404,Data_Cleaning!$B$6:$B$50,Data_Cleaning!$C$6:$C$50)</f>
        <v>Barcelona​</v>
      </c>
      <c r="G404" s="36" t="str" cm="1">
        <f t="array" ref="G404">_xlfn.XLOOKUP(TRUE,ISNUMBER(SEARCH(Data_Cleaning!$F$6:$F$36,C404)),Data_Cleaning!$G$6:$G$36,"Other",0)</f>
        <v>Health Sciences</v>
      </c>
      <c r="H404" s="24" t="str">
        <f>+_xlfn.XLOOKUP(G404,Data_Cleaning!$J$6:$J$11,Data_Cleaning!$K$6:$K$11)</f>
        <v>Science and Technology</v>
      </c>
      <c r="I404" s="12">
        <v>9840</v>
      </c>
      <c r="J404" s="12">
        <v>6063</v>
      </c>
      <c r="K404" s="12">
        <v>7640</v>
      </c>
      <c r="L404" s="12">
        <v>5000</v>
      </c>
    </row>
    <row r="405" spans="2:12" ht="15" customHeight="1">
      <c r="B405" s="10">
        <v>31055</v>
      </c>
      <c r="C405" s="22" t="s">
        <v>338</v>
      </c>
      <c r="D405" s="11" t="s">
        <v>58</v>
      </c>
      <c r="E405" s="25" t="s">
        <v>713</v>
      </c>
      <c r="F405" s="36" t="str">
        <f>+_xlfn.XLOOKUP(E405,Data_Cleaning!$B$6:$B$50,Data_Cleaning!$C$6:$C$50)</f>
        <v>Barcelona​</v>
      </c>
      <c r="G405" s="36" t="str" cm="1">
        <f t="array" ref="G405">_xlfn.XLOOKUP(TRUE,ISNUMBER(SEARCH(Data_Cleaning!$F$6:$F$36,C405)),Data_Cleaning!$G$6:$G$36,"Other",0)</f>
        <v>Engineering and Architecture</v>
      </c>
      <c r="H405" s="24" t="str">
        <f>+_xlfn.XLOOKUP(G405,Data_Cleaning!$J$6:$J$11,Data_Cleaning!$K$6:$K$11)</f>
        <v>Science and Technology</v>
      </c>
      <c r="I405" s="12">
        <v>9844</v>
      </c>
      <c r="J405" s="12">
        <v>5000</v>
      </c>
      <c r="K405" s="12">
        <v>5000</v>
      </c>
      <c r="L405" s="12">
        <v>5000</v>
      </c>
    </row>
    <row r="406" spans="2:12" ht="15" customHeight="1">
      <c r="B406" s="10">
        <v>21105</v>
      </c>
      <c r="C406" s="23" t="s">
        <v>642</v>
      </c>
      <c r="D406" s="11" t="s">
        <v>20</v>
      </c>
      <c r="E406" s="25" t="s">
        <v>685</v>
      </c>
      <c r="F406" s="36" t="str">
        <f>+_xlfn.XLOOKUP(E406,Data_Cleaning!$B$6:$B$50,Data_Cleaning!$C$6:$C$50)</f>
        <v>Barcelona​</v>
      </c>
      <c r="G406" s="36" t="str" cm="1">
        <f t="array" ref="G406">_xlfn.XLOOKUP(TRUE,ISNUMBER(SEARCH(Data_Cleaning!$F$6:$F$36,C406)),Data_Cleaning!$G$6:$G$36,"Other",0)</f>
        <v>Double Degree</v>
      </c>
      <c r="H406" s="24" t="s">
        <v>794</v>
      </c>
      <c r="I406" s="12">
        <v>9878</v>
      </c>
      <c r="J406" s="12">
        <v>5000</v>
      </c>
      <c r="K406" s="12">
        <v>5000</v>
      </c>
      <c r="L406" s="12">
        <v>5000</v>
      </c>
    </row>
    <row r="407" spans="2:12" ht="15" customHeight="1">
      <c r="B407" s="10">
        <v>81006</v>
      </c>
      <c r="C407" s="22" t="s">
        <v>75</v>
      </c>
      <c r="D407" s="11" t="s">
        <v>23</v>
      </c>
      <c r="E407" s="25" t="s">
        <v>686</v>
      </c>
      <c r="F407" s="36" t="str">
        <f>+_xlfn.XLOOKUP(E407,Data_Cleaning!$B$6:$B$50,Data_Cleaning!$C$6:$C$50)</f>
        <v>Girona​</v>
      </c>
      <c r="G407" s="36" t="str" cm="1">
        <f t="array" ref="G407">_xlfn.XLOOKUP(TRUE,ISNUMBER(SEARCH(Data_Cleaning!$F$6:$F$36,C407)),Data_Cleaning!$G$6:$G$36,"Other",0)</f>
        <v>Sciences</v>
      </c>
      <c r="H407" s="24" t="str">
        <f>+_xlfn.XLOOKUP(G407,Data_Cleaning!$J$6:$J$11,Data_Cleaning!$K$6:$K$11)</f>
        <v>Science and Technology</v>
      </c>
      <c r="I407" s="12">
        <v>9880</v>
      </c>
      <c r="J407" s="12">
        <v>5000</v>
      </c>
      <c r="K407" s="12">
        <v>5000</v>
      </c>
      <c r="L407" s="12">
        <v>5000</v>
      </c>
    </row>
    <row r="408" spans="2:12" ht="15" customHeight="1">
      <c r="B408" s="10">
        <v>11047</v>
      </c>
      <c r="C408" s="22" t="s">
        <v>534</v>
      </c>
      <c r="D408" s="11" t="s">
        <v>16</v>
      </c>
      <c r="E408" s="25" t="s">
        <v>684</v>
      </c>
      <c r="F408" s="36" t="str">
        <f>+_xlfn.XLOOKUP(E408,Data_Cleaning!$B$6:$B$50,Data_Cleaning!$C$6:$C$50)</f>
        <v>Barcelona​</v>
      </c>
      <c r="G408" s="36" t="str" cm="1">
        <f t="array" ref="G408">_xlfn.XLOOKUP(TRUE,ISNUMBER(SEARCH(Data_Cleaning!$F$6:$F$36,C408)),Data_Cleaning!$G$6:$G$36,"Other",0)</f>
        <v>Health Sciences</v>
      </c>
      <c r="H408" s="24" t="str">
        <f>+_xlfn.XLOOKUP(G408,Data_Cleaning!$J$6:$J$11,Data_Cleaning!$K$6:$K$11)</f>
        <v>Science and Technology</v>
      </c>
      <c r="I408" s="12">
        <v>9892</v>
      </c>
      <c r="J408" s="12">
        <v>6250</v>
      </c>
      <c r="K408" s="12">
        <v>8100</v>
      </c>
      <c r="L408" s="12">
        <v>6667</v>
      </c>
    </row>
    <row r="409" spans="2:12" ht="15" customHeight="1">
      <c r="B409" s="10">
        <v>81049</v>
      </c>
      <c r="C409" s="23" t="s">
        <v>624</v>
      </c>
      <c r="D409" s="11" t="s">
        <v>23</v>
      </c>
      <c r="E409" s="25" t="s">
        <v>686</v>
      </c>
      <c r="F409" s="36" t="str">
        <f>+_xlfn.XLOOKUP(E409,Data_Cleaning!$B$6:$B$50,Data_Cleaning!$C$6:$C$50)</f>
        <v>Girona​</v>
      </c>
      <c r="G409" s="36" t="str" cm="1">
        <f t="array" ref="G409">_xlfn.XLOOKUP(TRUE,ISNUMBER(SEARCH(Data_Cleaning!$F$6:$F$36,C409)),Data_Cleaning!$G$6:$G$36,"Other",0)</f>
        <v>Double Degree</v>
      </c>
      <c r="H409" s="24" t="s">
        <v>775</v>
      </c>
      <c r="I409" s="12">
        <v>9900</v>
      </c>
      <c r="J409" s="12">
        <v>5000</v>
      </c>
      <c r="K409" s="12">
        <v>5000</v>
      </c>
      <c r="L409" s="12">
        <v>5000</v>
      </c>
    </row>
    <row r="410" spans="2:12" ht="15" customHeight="1">
      <c r="B410" s="10">
        <v>21109</v>
      </c>
      <c r="C410" s="22" t="s">
        <v>187</v>
      </c>
      <c r="D410" s="11" t="s">
        <v>20</v>
      </c>
      <c r="E410" s="25" t="s">
        <v>685</v>
      </c>
      <c r="F410" s="36" t="str">
        <f>+_xlfn.XLOOKUP(E410,Data_Cleaning!$B$6:$B$50,Data_Cleaning!$C$6:$C$50)</f>
        <v>Barcelona​</v>
      </c>
      <c r="G410" s="36" t="str" cm="1">
        <f t="array" ref="G410">_xlfn.XLOOKUP(TRUE,ISNUMBER(SEARCH(Data_Cleaning!$F$6:$F$36,C410)),Data_Cleaning!$G$6:$G$36,"Other",0)</f>
        <v>Double Degree</v>
      </c>
      <c r="H410" s="24" t="s">
        <v>795</v>
      </c>
      <c r="I410" s="12">
        <v>9926</v>
      </c>
      <c r="J410" s="12">
        <v>5000</v>
      </c>
      <c r="K410" s="12">
        <v>7900</v>
      </c>
      <c r="L410" s="12">
        <v>5000</v>
      </c>
    </row>
    <row r="411" spans="2:12" ht="15" customHeight="1">
      <c r="B411" s="10">
        <v>31103</v>
      </c>
      <c r="C411" s="22" t="s">
        <v>248</v>
      </c>
      <c r="D411" s="11" t="s">
        <v>58</v>
      </c>
      <c r="E411" s="25" t="s">
        <v>684</v>
      </c>
      <c r="F411" s="36" t="str">
        <f>+_xlfn.XLOOKUP(E411,Data_Cleaning!$B$6:$B$50,Data_Cleaning!$C$6:$C$50)</f>
        <v>Barcelona​</v>
      </c>
      <c r="G411" s="36" t="str" cm="1">
        <f t="array" ref="G411">_xlfn.XLOOKUP(TRUE,ISNUMBER(SEARCH(Data_Cleaning!$F$6:$F$36,C411)),Data_Cleaning!$G$6:$G$36,"Other",0)</f>
        <v>Engineering and Architecture</v>
      </c>
      <c r="H411" s="24" t="str">
        <f>+_xlfn.XLOOKUP(G411,Data_Cleaning!$J$6:$J$11,Data_Cleaning!$K$6:$K$11)</f>
        <v>Science and Technology</v>
      </c>
      <c r="I411" s="12">
        <v>9926</v>
      </c>
      <c r="J411" s="12">
        <v>5000</v>
      </c>
      <c r="K411" s="12">
        <v>5000</v>
      </c>
      <c r="L411" s="12">
        <v>5000</v>
      </c>
    </row>
    <row r="412" spans="2:12" ht="15" customHeight="1">
      <c r="B412" s="10">
        <v>11062</v>
      </c>
      <c r="C412" s="22" t="s">
        <v>514</v>
      </c>
      <c r="D412" s="11" t="s">
        <v>16</v>
      </c>
      <c r="E412" s="25" t="s">
        <v>700</v>
      </c>
      <c r="F412" s="36" t="str">
        <f>+_xlfn.XLOOKUP(E412,Data_Cleaning!$B$6:$B$50,Data_Cleaning!$C$6:$C$50)</f>
        <v>Barcelona​</v>
      </c>
      <c r="G412" s="36" t="s">
        <v>768</v>
      </c>
      <c r="H412" s="24" t="str">
        <f>+_xlfn.XLOOKUP(G412,Data_Cleaning!$J$6:$J$11,Data_Cleaning!$K$6:$K$11)</f>
        <v>Science and Technology</v>
      </c>
      <c r="I412" s="12">
        <v>9939</v>
      </c>
      <c r="J412" s="12">
        <v>5344</v>
      </c>
      <c r="K412" s="12">
        <v>7270</v>
      </c>
      <c r="L412" s="12">
        <v>6333</v>
      </c>
    </row>
    <row r="413" spans="2:12" ht="15" customHeight="1">
      <c r="B413" s="10">
        <v>21071</v>
      </c>
      <c r="C413" s="22" t="s">
        <v>320</v>
      </c>
      <c r="D413" s="11" t="s">
        <v>20</v>
      </c>
      <c r="E413" s="25" t="s">
        <v>685</v>
      </c>
      <c r="F413" s="36" t="str">
        <f>+_xlfn.XLOOKUP(E413,Data_Cleaning!$B$6:$B$50,Data_Cleaning!$C$6:$C$50)</f>
        <v>Barcelona​</v>
      </c>
      <c r="G413" s="36" t="str" cm="1">
        <f t="array" ref="G413">_xlfn.XLOOKUP(TRUE,ISNUMBER(SEARCH(Data_Cleaning!$F$6:$F$36,C413)),Data_Cleaning!$G$6:$G$36,"Other",0)</f>
        <v>Engineering and Architecture</v>
      </c>
      <c r="H413" s="24" t="str">
        <f>+_xlfn.XLOOKUP(G413,Data_Cleaning!$J$6:$J$11,Data_Cleaning!$K$6:$K$11)</f>
        <v>Science and Technology</v>
      </c>
      <c r="I413" s="12">
        <v>9959</v>
      </c>
      <c r="J413" s="12">
        <v>5000</v>
      </c>
      <c r="K413" s="12">
        <v>6080</v>
      </c>
      <c r="L413" s="12">
        <v>5000</v>
      </c>
    </row>
    <row r="414" spans="2:12" ht="15" customHeight="1">
      <c r="B414" s="10">
        <v>81057</v>
      </c>
      <c r="C414" s="23" t="s">
        <v>747</v>
      </c>
      <c r="D414" s="11" t="s">
        <v>23</v>
      </c>
      <c r="E414" s="25" t="s">
        <v>686</v>
      </c>
      <c r="F414" s="36" t="str">
        <f>+_xlfn.XLOOKUP(E414,Data_Cleaning!$B$6:$B$50,Data_Cleaning!$C$6:$C$50)</f>
        <v>Girona​</v>
      </c>
      <c r="G414" s="36" t="str" cm="1">
        <f t="array" ref="G414">_xlfn.XLOOKUP(TRUE,ISNUMBER(SEARCH(Data_Cleaning!$F$6:$F$36,C414)),Data_Cleaning!$G$6:$G$36,"Other",0)</f>
        <v>Engineering and Architecture</v>
      </c>
      <c r="H414" s="24" t="str">
        <f>+_xlfn.XLOOKUP(G414,Data_Cleaning!$J$6:$J$11,Data_Cleaning!$K$6:$K$11)</f>
        <v>Science and Technology</v>
      </c>
      <c r="I414" s="12">
        <v>9968</v>
      </c>
      <c r="J414" s="12">
        <v>5000</v>
      </c>
      <c r="K414" s="12">
        <v>5000</v>
      </c>
      <c r="L414" s="12">
        <v>5000</v>
      </c>
    </row>
    <row r="415" spans="2:12" ht="15" customHeight="1">
      <c r="B415" s="10">
        <v>71050</v>
      </c>
      <c r="C415" s="23" t="s">
        <v>627</v>
      </c>
      <c r="D415" s="11" t="s">
        <v>18</v>
      </c>
      <c r="E415" s="25" t="s">
        <v>696</v>
      </c>
      <c r="F415" s="36" t="str">
        <f>+_xlfn.XLOOKUP(E415,Data_Cleaning!$B$6:$B$50,Data_Cleaning!$C$6:$C$50)</f>
        <v>Tarragona​</v>
      </c>
      <c r="G415" s="36" t="str" cm="1">
        <f t="array" ref="G415">_xlfn.XLOOKUP(TRUE,ISNUMBER(SEARCH(Data_Cleaning!$F$6:$F$36,C415)),Data_Cleaning!$G$6:$G$36,"Other",0)</f>
        <v>Double Degree</v>
      </c>
      <c r="H415" s="24" t="s">
        <v>775</v>
      </c>
      <c r="I415" s="12">
        <v>9968</v>
      </c>
      <c r="J415" s="12">
        <v>5000</v>
      </c>
      <c r="K415" s="12">
        <v>7540</v>
      </c>
      <c r="L415" s="12">
        <v>5000</v>
      </c>
    </row>
    <row r="416" spans="2:12" ht="15" customHeight="1">
      <c r="B416" s="153">
        <v>61075</v>
      </c>
      <c r="C416" s="23" t="s">
        <v>589</v>
      </c>
      <c r="D416" s="155" t="s">
        <v>25</v>
      </c>
      <c r="E416" s="25" t="s">
        <v>688</v>
      </c>
      <c r="F416" s="36" t="str">
        <f>+_xlfn.XLOOKUP(E416,Data_Cleaning!$B$6:$B$50,Data_Cleaning!$C$6:$C$50)</f>
        <v>Lleida​</v>
      </c>
      <c r="G416" s="36" t="str" cm="1">
        <f t="array" ref="G416">_xlfn.XLOOKUP(TRUE,ISNUMBER(SEARCH(Data_Cleaning!$F$6:$F$36,C416)),Data_Cleaning!$G$6:$G$36,"Other",0)</f>
        <v>Engineering and Architecture</v>
      </c>
      <c r="H416" s="24" t="str">
        <f>+_xlfn.XLOOKUP(G416,Data_Cleaning!$J$6:$J$11,Data_Cleaning!$K$6:$K$11)</f>
        <v>Science and Technology</v>
      </c>
      <c r="I416" s="156">
        <v>9978</v>
      </c>
      <c r="J416" s="156">
        <v>5000</v>
      </c>
      <c r="K416" s="156">
        <v>5000</v>
      </c>
      <c r="L416" s="156">
        <v>5000</v>
      </c>
    </row>
    <row r="417" spans="2:12" ht="15" customHeight="1">
      <c r="B417" s="10">
        <v>81052</v>
      </c>
      <c r="C417" s="22" t="s">
        <v>37</v>
      </c>
      <c r="D417" s="11" t="s">
        <v>23</v>
      </c>
      <c r="E417" s="25" t="s">
        <v>686</v>
      </c>
      <c r="F417" s="36" t="str">
        <f>+_xlfn.XLOOKUP(E417,Data_Cleaning!$B$6:$B$50,Data_Cleaning!$C$6:$C$50)</f>
        <v>Girona​</v>
      </c>
      <c r="G417" s="36" t="str" cm="1">
        <f t="array" ref="G417">_xlfn.XLOOKUP(TRUE,ISNUMBER(SEARCH(Data_Cleaning!$F$6:$F$36,C417)),Data_Cleaning!$G$6:$G$36,"Other",0)</f>
        <v>Double Degree</v>
      </c>
      <c r="H417" s="24" t="s">
        <v>795</v>
      </c>
      <c r="I417" s="12">
        <v>10000</v>
      </c>
      <c r="J417" s="12">
        <v>5188</v>
      </c>
      <c r="K417" s="12">
        <v>5000</v>
      </c>
      <c r="L417" s="12">
        <v>5000</v>
      </c>
    </row>
    <row r="418" spans="2:12" ht="15" customHeight="1">
      <c r="B418" s="10">
        <v>11049</v>
      </c>
      <c r="C418" s="22" t="s">
        <v>546</v>
      </c>
      <c r="D418" s="11" t="s">
        <v>16</v>
      </c>
      <c r="E418" s="25" t="s">
        <v>684</v>
      </c>
      <c r="F418" s="36" t="str">
        <f>+_xlfn.XLOOKUP(E418,Data_Cleaning!$B$6:$B$50,Data_Cleaning!$C$6:$C$50)</f>
        <v>Barcelona​</v>
      </c>
      <c r="G418" s="36" t="str" cm="1">
        <f t="array" ref="G418">_xlfn.XLOOKUP(TRUE,ISNUMBER(SEARCH(Data_Cleaning!$F$6:$F$36,C418)),Data_Cleaning!$G$6:$G$36,"Other",0)</f>
        <v>Sciences</v>
      </c>
      <c r="H418" s="24" t="str">
        <f>+_xlfn.XLOOKUP(G418,Data_Cleaning!$J$6:$J$11,Data_Cleaning!$K$6:$K$11)</f>
        <v>Science and Technology</v>
      </c>
      <c r="I418" s="12">
        <v>10028</v>
      </c>
      <c r="J418" s="12">
        <v>5000</v>
      </c>
      <c r="K418" s="12">
        <v>5000</v>
      </c>
      <c r="L418" s="12">
        <v>5000</v>
      </c>
    </row>
    <row r="419" spans="2:12" ht="15" customHeight="1">
      <c r="B419" s="10">
        <v>21098</v>
      </c>
      <c r="C419" s="22" t="s">
        <v>33</v>
      </c>
      <c r="D419" s="11" t="s">
        <v>20</v>
      </c>
      <c r="E419" s="25" t="s">
        <v>685</v>
      </c>
      <c r="F419" s="36" t="str">
        <f>+_xlfn.XLOOKUP(E419,Data_Cleaning!$B$6:$B$50,Data_Cleaning!$C$6:$C$50)</f>
        <v>Barcelona​</v>
      </c>
      <c r="G419" s="36" t="str" cm="1">
        <f t="array" ref="G419">_xlfn.XLOOKUP(TRUE,ISNUMBER(SEARCH(Data_Cleaning!$F$6:$F$36,C419)),Data_Cleaning!$G$6:$G$36,"Other",0)</f>
        <v>Double Degree</v>
      </c>
      <c r="H419" s="24" t="s">
        <v>795</v>
      </c>
      <c r="I419" s="12">
        <v>10082</v>
      </c>
      <c r="J419" s="12">
        <v>5000</v>
      </c>
      <c r="K419" s="12">
        <v>5000</v>
      </c>
      <c r="L419" s="12">
        <v>5000</v>
      </c>
    </row>
    <row r="420" spans="2:12" ht="15" customHeight="1">
      <c r="B420" s="10">
        <v>11098</v>
      </c>
      <c r="C420" s="23" t="s">
        <v>614</v>
      </c>
      <c r="D420" s="11" t="s">
        <v>16</v>
      </c>
      <c r="E420" s="25" t="s">
        <v>684</v>
      </c>
      <c r="F420" s="36" t="str">
        <f>+_xlfn.XLOOKUP(E420,Data_Cleaning!$B$6:$B$50,Data_Cleaning!$C$6:$C$50)</f>
        <v>Barcelona​</v>
      </c>
      <c r="G420" s="36" t="str" cm="1">
        <f t="array" ref="G420">_xlfn.XLOOKUP(TRUE,ISNUMBER(SEARCH(Data_Cleaning!$F$6:$F$36,C420)),Data_Cleaning!$G$6:$G$36,"Other",0)</f>
        <v>Double Degree</v>
      </c>
      <c r="H420" s="24" t="s">
        <v>775</v>
      </c>
      <c r="I420" s="12">
        <v>10088</v>
      </c>
      <c r="J420" s="12">
        <v>5000</v>
      </c>
      <c r="K420" s="12">
        <v>5000</v>
      </c>
      <c r="L420" s="12">
        <v>5000</v>
      </c>
    </row>
    <row r="421" spans="2:12" ht="15" customHeight="1">
      <c r="B421" s="10">
        <v>31078</v>
      </c>
      <c r="C421" s="23" t="s">
        <v>750</v>
      </c>
      <c r="D421" s="11" t="s">
        <v>58</v>
      </c>
      <c r="E421" s="25" t="s">
        <v>684</v>
      </c>
      <c r="F421" s="36" t="str">
        <f>+_xlfn.XLOOKUP(E421,Data_Cleaning!$B$6:$B$50,Data_Cleaning!$C$6:$C$50)</f>
        <v>Barcelona​</v>
      </c>
      <c r="G421" s="36" t="str" cm="1">
        <f t="array" ref="G421">_xlfn.XLOOKUP(TRUE,ISNUMBER(SEARCH(Data_Cleaning!$F$6:$F$36,C421)),Data_Cleaning!$G$6:$G$36,"Other",0)</f>
        <v>Engineering and Architecture</v>
      </c>
      <c r="H421" s="24" t="str">
        <f>+_xlfn.XLOOKUP(G421,Data_Cleaning!$J$6:$J$11,Data_Cleaning!$K$6:$K$11)</f>
        <v>Science and Technology</v>
      </c>
      <c r="I421" s="12">
        <v>10104</v>
      </c>
      <c r="J421" s="12">
        <v>5000</v>
      </c>
      <c r="K421" s="12">
        <v>6010</v>
      </c>
      <c r="L421" s="12">
        <v>5000</v>
      </c>
    </row>
    <row r="422" spans="2:12" ht="15" customHeight="1">
      <c r="B422" s="10">
        <v>91920</v>
      </c>
      <c r="C422" s="22" t="s">
        <v>343</v>
      </c>
      <c r="D422" s="11" t="s">
        <v>195</v>
      </c>
      <c r="E422" s="25" t="s">
        <v>684</v>
      </c>
      <c r="F422" s="36" t="str">
        <f>+_xlfn.XLOOKUP(E422,Data_Cleaning!$B$6:$B$50,Data_Cleaning!$C$6:$C$50)</f>
        <v>Barcelona​</v>
      </c>
      <c r="G422" s="36" t="s">
        <v>756</v>
      </c>
      <c r="H422" s="24" t="str">
        <f>+_xlfn.XLOOKUP(G422,Data_Cleaning!$J$6:$J$11,Data_Cleaning!$K$6:$K$11)</f>
        <v>Science and Technology</v>
      </c>
      <c r="I422" s="12">
        <v>10110</v>
      </c>
      <c r="J422" s="12">
        <v>5000</v>
      </c>
      <c r="K422" s="12">
        <v>7670</v>
      </c>
      <c r="L422" s="12">
        <v>5000</v>
      </c>
    </row>
    <row r="423" spans="2:12" ht="15" customHeight="1">
      <c r="B423" s="10">
        <v>21099</v>
      </c>
      <c r="C423" s="23" t="s">
        <v>598</v>
      </c>
      <c r="D423" s="11" t="s">
        <v>20</v>
      </c>
      <c r="E423" s="25" t="s">
        <v>685</v>
      </c>
      <c r="F423" s="36" t="str">
        <f>+_xlfn.XLOOKUP(E423,Data_Cleaning!$B$6:$B$50,Data_Cleaning!$C$6:$C$50)</f>
        <v>Barcelona​</v>
      </c>
      <c r="G423" s="36" t="str" cm="1">
        <f t="array" ref="G423">_xlfn.XLOOKUP(TRUE,ISNUMBER(SEARCH(Data_Cleaning!$F$6:$F$36,C423)),Data_Cleaning!$G$6:$G$36,"Other",0)</f>
        <v>Social Sciences and Law</v>
      </c>
      <c r="H423" s="24" t="str">
        <f>+_xlfn.XLOOKUP(G423,Data_Cleaning!$J$6:$J$11,Data_Cleaning!$K$6:$K$11)</f>
        <v>Social Sciences</v>
      </c>
      <c r="I423" s="12">
        <v>10128</v>
      </c>
      <c r="J423" s="12">
        <v>5000</v>
      </c>
      <c r="K423" s="12">
        <v>5000</v>
      </c>
      <c r="L423" s="12">
        <v>5000</v>
      </c>
    </row>
    <row r="424" spans="2:12" ht="15" customHeight="1">
      <c r="B424" s="10">
        <v>71053</v>
      </c>
      <c r="C424" s="23" t="s">
        <v>604</v>
      </c>
      <c r="D424" s="11" t="s">
        <v>18</v>
      </c>
      <c r="E424" s="25" t="s">
        <v>690</v>
      </c>
      <c r="F424" s="36" t="str">
        <f>+_xlfn.XLOOKUP(E424,Data_Cleaning!$B$6:$B$50,Data_Cleaning!$C$6:$C$50)</f>
        <v>Tarragona​</v>
      </c>
      <c r="G424" s="36" t="str" cm="1">
        <f t="array" ref="G424">_xlfn.XLOOKUP(TRUE,ISNUMBER(SEARCH(Data_Cleaning!$F$6:$F$36,C424)),Data_Cleaning!$G$6:$G$36,"Other",0)</f>
        <v>Double Degree</v>
      </c>
      <c r="H424" s="24" t="s">
        <v>795</v>
      </c>
      <c r="I424" s="12">
        <v>10131</v>
      </c>
      <c r="J424" s="12">
        <v>5000</v>
      </c>
      <c r="K424" s="12">
        <v>5000</v>
      </c>
      <c r="L424" s="12">
        <v>5000</v>
      </c>
    </row>
    <row r="425" spans="2:12" ht="15" customHeight="1">
      <c r="B425" s="10">
        <v>81048</v>
      </c>
      <c r="C425" s="22" t="s">
        <v>78</v>
      </c>
      <c r="D425" s="11" t="s">
        <v>23</v>
      </c>
      <c r="E425" s="25" t="s">
        <v>686</v>
      </c>
      <c r="F425" s="36" t="str">
        <f>+_xlfn.XLOOKUP(E425,Data_Cleaning!$B$6:$B$50,Data_Cleaning!$C$6:$C$50)</f>
        <v>Girona​</v>
      </c>
      <c r="G425" s="36" t="str" cm="1">
        <f t="array" ref="G425">_xlfn.XLOOKUP(TRUE,ISNUMBER(SEARCH(Data_Cleaning!$F$6:$F$36,C425)),Data_Cleaning!$G$6:$G$36,"Other",0)</f>
        <v>Double Degree</v>
      </c>
      <c r="H425" s="24" t="s">
        <v>794</v>
      </c>
      <c r="I425" s="12">
        <v>10136</v>
      </c>
      <c r="J425" s="12">
        <v>5000</v>
      </c>
      <c r="K425" s="12">
        <v>5000</v>
      </c>
      <c r="L425" s="12">
        <v>5000</v>
      </c>
    </row>
    <row r="426" spans="2:12" ht="15" customHeight="1">
      <c r="B426" s="10">
        <v>61035</v>
      </c>
      <c r="C426" s="22" t="s">
        <v>35</v>
      </c>
      <c r="D426" s="11" t="s">
        <v>25</v>
      </c>
      <c r="E426" s="25" t="s">
        <v>688</v>
      </c>
      <c r="F426" s="36" t="str">
        <f>+_xlfn.XLOOKUP(E426,Data_Cleaning!$B$6:$B$50,Data_Cleaning!$C$6:$C$50)</f>
        <v>Lleida​</v>
      </c>
      <c r="G426" s="36" t="str" cm="1">
        <f t="array" ref="G426">_xlfn.XLOOKUP(TRUE,ISNUMBER(SEARCH(Data_Cleaning!$F$6:$F$36,C426)),Data_Cleaning!$G$6:$G$36,"Other",0)</f>
        <v>Double Degree</v>
      </c>
      <c r="H426" s="24" t="s">
        <v>795</v>
      </c>
      <c r="I426" s="12">
        <v>10138</v>
      </c>
      <c r="J426" s="12">
        <v>5313</v>
      </c>
      <c r="K426" s="12">
        <v>5000</v>
      </c>
      <c r="L426" s="12">
        <v>5000</v>
      </c>
    </row>
    <row r="427" spans="2:12" ht="15" customHeight="1">
      <c r="B427" s="10">
        <v>31114</v>
      </c>
      <c r="C427" s="23" t="s">
        <v>657</v>
      </c>
      <c r="D427" s="11" t="s">
        <v>58</v>
      </c>
      <c r="E427" s="25" t="s">
        <v>706</v>
      </c>
      <c r="F427" s="36" t="str">
        <f>+_xlfn.XLOOKUP(E427,Data_Cleaning!$B$6:$B$50,Data_Cleaning!$C$6:$C$50)</f>
        <v>Barcelona​</v>
      </c>
      <c r="G427" s="36" t="str" cm="1">
        <f t="array" ref="G427">_xlfn.XLOOKUP(TRUE,ISNUMBER(SEARCH(Data_Cleaning!$F$6:$F$36,C427)),Data_Cleaning!$G$6:$G$36,"Other",0)</f>
        <v>Engineering and Architecture</v>
      </c>
      <c r="H427" s="24" t="str">
        <f>+_xlfn.XLOOKUP(G427,Data_Cleaning!$J$6:$J$11,Data_Cleaning!$K$6:$K$11)</f>
        <v>Science and Technology</v>
      </c>
      <c r="I427" s="12">
        <v>10140</v>
      </c>
      <c r="J427" s="12">
        <v>5000</v>
      </c>
      <c r="K427" s="12">
        <v>5000</v>
      </c>
      <c r="L427" s="12">
        <v>5000</v>
      </c>
    </row>
    <row r="428" spans="2:12" ht="15" customHeight="1">
      <c r="B428" s="10">
        <v>31027</v>
      </c>
      <c r="C428" s="22" t="s">
        <v>333</v>
      </c>
      <c r="D428" s="11" t="s">
        <v>58</v>
      </c>
      <c r="E428" s="25" t="s">
        <v>713</v>
      </c>
      <c r="F428" s="36" t="str">
        <f>+_xlfn.XLOOKUP(E428,Data_Cleaning!$B$6:$B$50,Data_Cleaning!$C$6:$C$50)</f>
        <v>Barcelona​</v>
      </c>
      <c r="G428" s="36" t="str" cm="1">
        <f t="array" ref="G428">_xlfn.XLOOKUP(TRUE,ISNUMBER(SEARCH(Data_Cleaning!$F$6:$F$36,C428)),Data_Cleaning!$G$6:$G$36,"Other",0)</f>
        <v>Engineering and Architecture</v>
      </c>
      <c r="H428" s="24" t="str">
        <f>+_xlfn.XLOOKUP(G428,Data_Cleaning!$J$6:$J$11,Data_Cleaning!$K$6:$K$11)</f>
        <v>Science and Technology</v>
      </c>
      <c r="I428" s="12">
        <v>10140</v>
      </c>
      <c r="J428" s="12">
        <v>5000</v>
      </c>
      <c r="K428" s="12">
        <v>5000</v>
      </c>
      <c r="L428" s="12">
        <v>5000</v>
      </c>
    </row>
    <row r="429" spans="2:12" ht="15" customHeight="1">
      <c r="B429" s="10">
        <v>41054</v>
      </c>
      <c r="C429" s="23" t="s">
        <v>671</v>
      </c>
      <c r="D429" s="11" t="s">
        <v>11</v>
      </c>
      <c r="E429" s="25" t="s">
        <v>684</v>
      </c>
      <c r="F429" s="36" t="str">
        <f>+_xlfn.XLOOKUP(E429,Data_Cleaning!$B$6:$B$50,Data_Cleaning!$C$6:$C$50)</f>
        <v>Barcelona​</v>
      </c>
      <c r="G429" s="36" t="str" cm="1">
        <f t="array" ref="G429">_xlfn.XLOOKUP(TRUE,ISNUMBER(SEARCH(Data_Cleaning!$F$6:$F$36,C429)),Data_Cleaning!$G$6:$G$36,"Other",0)</f>
        <v>Double Degree</v>
      </c>
      <c r="H429" s="24" t="s">
        <v>775</v>
      </c>
      <c r="I429" s="12">
        <v>10158</v>
      </c>
      <c r="J429" s="12">
        <v>5000</v>
      </c>
      <c r="K429" s="12">
        <v>5000</v>
      </c>
      <c r="L429" s="12">
        <v>5000</v>
      </c>
    </row>
    <row r="430" spans="2:12" ht="15" customHeight="1">
      <c r="B430" s="10">
        <v>71043</v>
      </c>
      <c r="C430" s="22" t="s">
        <v>397</v>
      </c>
      <c r="D430" s="11" t="s">
        <v>18</v>
      </c>
      <c r="E430" s="25" t="s">
        <v>690</v>
      </c>
      <c r="F430" s="36" t="str">
        <f>+_xlfn.XLOOKUP(E430,Data_Cleaning!$B$6:$B$50,Data_Cleaning!$C$6:$C$50)</f>
        <v>Tarragona​</v>
      </c>
      <c r="G430" s="36" t="str" cm="1">
        <f t="array" ref="G430">_xlfn.XLOOKUP(TRUE,ISNUMBER(SEARCH(Data_Cleaning!$F$6:$F$36,C430)),Data_Cleaning!$G$6:$G$36,"Other",0)</f>
        <v>Health Sciences</v>
      </c>
      <c r="H430" s="24" t="str">
        <f>+_xlfn.XLOOKUP(G430,Data_Cleaning!$J$6:$J$11,Data_Cleaning!$K$6:$K$11)</f>
        <v>Science and Technology</v>
      </c>
      <c r="I430" s="12">
        <v>10170</v>
      </c>
      <c r="J430" s="12">
        <v>5500</v>
      </c>
      <c r="K430" s="12">
        <v>8030</v>
      </c>
      <c r="L430" s="12">
        <v>6000</v>
      </c>
    </row>
    <row r="431" spans="2:12" ht="15" customHeight="1">
      <c r="B431" s="10">
        <v>61082</v>
      </c>
      <c r="C431" s="22" t="s">
        <v>457</v>
      </c>
      <c r="D431" s="11" t="s">
        <v>25</v>
      </c>
      <c r="E431" s="25" t="s">
        <v>721</v>
      </c>
      <c r="F431" s="36" t="str">
        <f>+_xlfn.XLOOKUP(E431,Data_Cleaning!$B$6:$B$50,Data_Cleaning!$C$6:$C$50)</f>
        <v>Lleida​</v>
      </c>
      <c r="G431" s="36" t="str" cm="1">
        <f t="array" ref="G431">_xlfn.XLOOKUP(TRUE,ISNUMBER(SEARCH(Data_Cleaning!$F$6:$F$36,C431)),Data_Cleaning!$G$6:$G$36,"Other",0)</f>
        <v>Health Sciences</v>
      </c>
      <c r="H431" s="24" t="str">
        <f>+_xlfn.XLOOKUP(G431,Data_Cleaning!$J$6:$J$11,Data_Cleaning!$K$6:$K$11)</f>
        <v>Science and Technology</v>
      </c>
      <c r="I431" s="12">
        <v>10177</v>
      </c>
      <c r="J431" s="12">
        <v>5660</v>
      </c>
      <c r="K431" s="12">
        <v>8540</v>
      </c>
      <c r="L431" s="12">
        <v>5000</v>
      </c>
    </row>
    <row r="432" spans="2:12" ht="15" customHeight="1">
      <c r="B432" s="10">
        <v>21043</v>
      </c>
      <c r="C432" s="22" t="s">
        <v>442</v>
      </c>
      <c r="D432" s="11" t="s">
        <v>20</v>
      </c>
      <c r="E432" s="25" t="s">
        <v>684</v>
      </c>
      <c r="F432" s="36" t="str">
        <f>+_xlfn.XLOOKUP(E432,Data_Cleaning!$B$6:$B$50,Data_Cleaning!$C$6:$C$50)</f>
        <v>Barcelona​</v>
      </c>
      <c r="G432" s="36" t="str" cm="1">
        <f t="array" ref="G432">_xlfn.XLOOKUP(TRUE,ISNUMBER(SEARCH(Data_Cleaning!$F$6:$F$36,C432)),Data_Cleaning!$G$6:$G$36,"Other",0)</f>
        <v>Health Sciences</v>
      </c>
      <c r="H432" s="24" t="str">
        <f>+_xlfn.XLOOKUP(G432,Data_Cleaning!$J$6:$J$11,Data_Cleaning!$K$6:$K$11)</f>
        <v>Science and Technology</v>
      </c>
      <c r="I432" s="12">
        <v>10188</v>
      </c>
      <c r="J432" s="12">
        <v>6125</v>
      </c>
      <c r="K432" s="12">
        <v>7600</v>
      </c>
      <c r="L432" s="12">
        <v>5000</v>
      </c>
    </row>
    <row r="433" spans="2:12" ht="15" customHeight="1">
      <c r="B433" s="10">
        <v>61005</v>
      </c>
      <c r="C433" s="22" t="s">
        <v>88</v>
      </c>
      <c r="D433" s="11" t="s">
        <v>25</v>
      </c>
      <c r="E433" s="25" t="s">
        <v>688</v>
      </c>
      <c r="F433" s="36" t="str">
        <f>+_xlfn.XLOOKUP(E433,Data_Cleaning!$B$6:$B$50,Data_Cleaning!$C$6:$C$50)</f>
        <v>Lleida​</v>
      </c>
      <c r="G433" s="36" t="s">
        <v>768</v>
      </c>
      <c r="H433" s="24" t="str">
        <f>+_xlfn.XLOOKUP(G433,Data_Cleaning!$J$6:$J$11,Data_Cleaning!$K$6:$K$11)</f>
        <v>Science and Technology</v>
      </c>
      <c r="I433" s="12">
        <v>10196</v>
      </c>
      <c r="J433" s="12">
        <v>5000</v>
      </c>
      <c r="K433" s="12">
        <v>5000</v>
      </c>
      <c r="L433" s="12">
        <v>5000</v>
      </c>
    </row>
    <row r="434" spans="2:12" ht="15" customHeight="1">
      <c r="B434" s="10">
        <v>81046</v>
      </c>
      <c r="C434" s="23" t="s">
        <v>602</v>
      </c>
      <c r="D434" s="11" t="s">
        <v>23</v>
      </c>
      <c r="E434" s="25" t="s">
        <v>686</v>
      </c>
      <c r="F434" s="36" t="str">
        <f>+_xlfn.XLOOKUP(E434,Data_Cleaning!$B$6:$B$50,Data_Cleaning!$C$6:$C$50)</f>
        <v>Girona​</v>
      </c>
      <c r="G434" s="36" t="str" cm="1">
        <f t="array" ref="G434">_xlfn.XLOOKUP(TRUE,ISNUMBER(SEARCH(Data_Cleaning!$F$6:$F$36,C434)),Data_Cleaning!$G$6:$G$36,"Other",0)</f>
        <v>Double Degree</v>
      </c>
      <c r="H434" s="24" t="s">
        <v>794</v>
      </c>
      <c r="I434" s="12">
        <v>10198</v>
      </c>
      <c r="J434" s="12">
        <v>5000</v>
      </c>
      <c r="K434" s="12">
        <v>5000</v>
      </c>
      <c r="L434" s="12">
        <v>5000</v>
      </c>
    </row>
    <row r="435" spans="2:12" ht="15" customHeight="1">
      <c r="B435" s="10">
        <v>61065</v>
      </c>
      <c r="C435" s="23" t="s">
        <v>640</v>
      </c>
      <c r="D435" s="11" t="s">
        <v>25</v>
      </c>
      <c r="E435" s="25" t="s">
        <v>688</v>
      </c>
      <c r="F435" s="36" t="str">
        <f>+_xlfn.XLOOKUP(E435,Data_Cleaning!$B$6:$B$50,Data_Cleaning!$C$6:$C$50)</f>
        <v>Lleida​</v>
      </c>
      <c r="G435" s="40" t="str" cm="1">
        <f t="array" ref="G435">_xlfn.XLOOKUP(TRUE,ISNUMBER(SEARCH(Data_Cleaning!$F$6:$F$36,C435)),Data_Cleaning!$G$6:$G$36,"Other",0)</f>
        <v>Double Degree</v>
      </c>
      <c r="H435" s="24" t="s">
        <v>794</v>
      </c>
      <c r="I435" s="12">
        <v>10218</v>
      </c>
      <c r="J435" s="12">
        <v>5000</v>
      </c>
      <c r="K435" s="12">
        <v>5000</v>
      </c>
      <c r="L435" s="12">
        <v>5000</v>
      </c>
    </row>
    <row r="436" spans="2:12" ht="15" customHeight="1">
      <c r="B436" s="10">
        <v>71056</v>
      </c>
      <c r="C436" s="22" t="s">
        <v>91</v>
      </c>
      <c r="D436" s="11" t="s">
        <v>18</v>
      </c>
      <c r="E436" s="25" t="s">
        <v>696</v>
      </c>
      <c r="F436" s="36" t="str">
        <f>+_xlfn.XLOOKUP(E436,Data_Cleaning!$B$6:$B$50,Data_Cleaning!$C$6:$C$50)</f>
        <v>Tarragona​</v>
      </c>
      <c r="G436" s="40" t="str" cm="1">
        <f t="array" ref="G436">_xlfn.XLOOKUP(TRUE,ISNUMBER(SEARCH(Data_Cleaning!$F$6:$F$36,C436)),Data_Cleaning!$G$6:$G$36,"Other",0)</f>
        <v>Double Degree</v>
      </c>
      <c r="H436" s="24" t="s">
        <v>794</v>
      </c>
      <c r="I436" s="12">
        <v>10224</v>
      </c>
      <c r="J436" s="12">
        <v>5000</v>
      </c>
      <c r="K436" s="12">
        <v>5000</v>
      </c>
      <c r="L436" s="12">
        <v>5000</v>
      </c>
    </row>
    <row r="437" spans="2:12" ht="15" customHeight="1">
      <c r="B437" s="10">
        <v>11007</v>
      </c>
      <c r="C437" s="22" t="s">
        <v>113</v>
      </c>
      <c r="D437" s="11" t="s">
        <v>16</v>
      </c>
      <c r="E437" s="25" t="s">
        <v>684</v>
      </c>
      <c r="F437" s="36" t="str">
        <f>+_xlfn.XLOOKUP(E437,Data_Cleaning!$B$6:$B$50,Data_Cleaning!$C$6:$C$50)</f>
        <v>Barcelona​</v>
      </c>
      <c r="G437" s="40" t="str" cm="1">
        <f t="array" ref="G437">_xlfn.XLOOKUP(TRUE,ISNUMBER(SEARCH(Data_Cleaning!$F$6:$F$36,C437)),Data_Cleaning!$G$6:$G$36,"Other",0)</f>
        <v>Sciences</v>
      </c>
      <c r="H437" s="24" t="str">
        <f>+_xlfn.XLOOKUP(G437,Data_Cleaning!$J$6:$J$11,Data_Cleaning!$K$6:$K$11)</f>
        <v>Science and Technology</v>
      </c>
      <c r="I437" s="12">
        <v>10224</v>
      </c>
      <c r="J437" s="12">
        <v>5719</v>
      </c>
      <c r="K437" s="12">
        <v>7270</v>
      </c>
      <c r="L437" s="12">
        <v>5000</v>
      </c>
    </row>
    <row r="438" spans="2:12" ht="15" customHeight="1">
      <c r="B438" s="10">
        <v>31099</v>
      </c>
      <c r="C438" s="22" t="s">
        <v>299</v>
      </c>
      <c r="D438" s="11" t="s">
        <v>58</v>
      </c>
      <c r="E438" s="25" t="s">
        <v>684</v>
      </c>
      <c r="F438" s="36" t="str">
        <f>+_xlfn.XLOOKUP(E438,Data_Cleaning!$B$6:$B$50,Data_Cleaning!$C$6:$C$50)</f>
        <v>Barcelona​</v>
      </c>
      <c r="G438" s="40" t="str" cm="1">
        <f t="array" ref="G438">_xlfn.XLOOKUP(TRUE,ISNUMBER(SEARCH(Data_Cleaning!$F$6:$F$36,C438)),Data_Cleaning!$G$6:$G$36,"Other",0)</f>
        <v>Engineering and Architecture</v>
      </c>
      <c r="H438" s="24" t="str">
        <f>+_xlfn.XLOOKUP(G438,Data_Cleaning!$J$6:$J$11,Data_Cleaning!$K$6:$K$11)</f>
        <v>Science and Technology</v>
      </c>
      <c r="I438" s="12">
        <v>10240</v>
      </c>
      <c r="J438" s="12">
        <v>5000</v>
      </c>
      <c r="K438" s="12">
        <v>5000</v>
      </c>
      <c r="L438" s="12">
        <v>5000</v>
      </c>
    </row>
    <row r="439" spans="2:12" ht="15" customHeight="1">
      <c r="B439" s="10">
        <v>11018</v>
      </c>
      <c r="C439" s="22" t="s">
        <v>319</v>
      </c>
      <c r="D439" s="11" t="s">
        <v>16</v>
      </c>
      <c r="E439" s="25" t="s">
        <v>684</v>
      </c>
      <c r="F439" s="36" t="str">
        <f>+_xlfn.XLOOKUP(E439,Data_Cleaning!$B$6:$B$50,Data_Cleaning!$C$6:$C$50)</f>
        <v>Barcelona​</v>
      </c>
      <c r="G439" s="40" t="str" cm="1">
        <f t="array" ref="G439">_xlfn.XLOOKUP(TRUE,ISNUMBER(SEARCH(Data_Cleaning!$F$6:$F$36,C439)),Data_Cleaning!$G$6:$G$36,"Other",0)</f>
        <v>Engineering and Architecture</v>
      </c>
      <c r="H439" s="24" t="str">
        <f>+_xlfn.XLOOKUP(G439,Data_Cleaning!$J$6:$J$11,Data_Cleaning!$K$6:$K$11)</f>
        <v>Science and Technology</v>
      </c>
      <c r="I439" s="12">
        <v>10246</v>
      </c>
      <c r="J439" s="12">
        <v>5000</v>
      </c>
      <c r="K439" s="12">
        <v>6420</v>
      </c>
      <c r="L439" s="12">
        <v>5000</v>
      </c>
    </row>
    <row r="440" spans="2:12" ht="15" customHeight="1">
      <c r="B440" s="10">
        <v>21118</v>
      </c>
      <c r="C440" s="22" t="s">
        <v>254</v>
      </c>
      <c r="D440" s="11" t="s">
        <v>20</v>
      </c>
      <c r="E440" s="25" t="s">
        <v>685</v>
      </c>
      <c r="F440" s="36" t="str">
        <f>+_xlfn.XLOOKUP(E440,Data_Cleaning!$B$6:$B$50,Data_Cleaning!$C$6:$C$50)</f>
        <v>Barcelona​</v>
      </c>
      <c r="G440" s="40" t="str" cm="1">
        <f t="array" ref="G440">_xlfn.XLOOKUP(TRUE,ISNUMBER(SEARCH(Data_Cleaning!$F$6:$F$36,C440)),Data_Cleaning!$G$6:$G$36,"Other",0)</f>
        <v>Engineering and Architecture</v>
      </c>
      <c r="H440" s="24" t="str">
        <f>+_xlfn.XLOOKUP(G440,Data_Cleaning!$J$6:$J$11,Data_Cleaning!$K$6:$K$11)</f>
        <v>Science and Technology</v>
      </c>
      <c r="I440" s="12">
        <v>10290</v>
      </c>
      <c r="J440" s="12">
        <v>5000</v>
      </c>
      <c r="K440" s="12">
        <v>5000</v>
      </c>
      <c r="L440" s="12">
        <v>5000</v>
      </c>
    </row>
    <row r="441" spans="2:12" ht="15" customHeight="1">
      <c r="B441" s="10">
        <v>81007</v>
      </c>
      <c r="C441" s="22" t="s">
        <v>87</v>
      </c>
      <c r="D441" s="11" t="s">
        <v>23</v>
      </c>
      <c r="E441" s="25" t="s">
        <v>686</v>
      </c>
      <c r="F441" s="36" t="str">
        <f>+_xlfn.XLOOKUP(E441,Data_Cleaning!$B$6:$B$50,Data_Cleaning!$C$6:$C$50)</f>
        <v>Girona​</v>
      </c>
      <c r="G441" s="40" t="s">
        <v>768</v>
      </c>
      <c r="H441" s="24" t="str">
        <f>+_xlfn.XLOOKUP(G441,Data_Cleaning!$J$6:$J$11,Data_Cleaning!$K$6:$K$11)</f>
        <v>Science and Technology</v>
      </c>
      <c r="I441" s="12">
        <v>10354</v>
      </c>
      <c r="J441" s="12">
        <v>5000</v>
      </c>
      <c r="K441" s="12">
        <v>5000</v>
      </c>
      <c r="L441" s="12">
        <v>5000</v>
      </c>
    </row>
    <row r="442" spans="2:12" ht="15" customHeight="1">
      <c r="B442" s="10">
        <v>71084</v>
      </c>
      <c r="C442" s="22" t="s">
        <v>459</v>
      </c>
      <c r="D442" s="11" t="s">
        <v>18</v>
      </c>
      <c r="E442" s="25" t="s">
        <v>722</v>
      </c>
      <c r="F442" s="36" t="str">
        <f>+_xlfn.XLOOKUP(E442,Data_Cleaning!$B$6:$B$50,Data_Cleaning!$C$6:$C$50)</f>
        <v>Barcelona​</v>
      </c>
      <c r="G442" s="40" t="str" cm="1">
        <f t="array" ref="G442">_xlfn.XLOOKUP(TRUE,ISNUMBER(SEARCH(Data_Cleaning!$F$6:$F$36,C442)),Data_Cleaning!$G$6:$G$36,"Other",0)</f>
        <v>Health Sciences</v>
      </c>
      <c r="H442" s="24" t="str">
        <f>+_xlfn.XLOOKUP(G442,Data_Cleaning!$J$6:$J$11,Data_Cleaning!$K$6:$K$11)</f>
        <v>Science and Technology</v>
      </c>
      <c r="I442" s="12">
        <v>10355</v>
      </c>
      <c r="J442" s="12">
        <v>6125</v>
      </c>
      <c r="K442" s="12">
        <v>8190</v>
      </c>
      <c r="L442" s="12">
        <v>5000</v>
      </c>
    </row>
    <row r="443" spans="2:12" ht="15" customHeight="1">
      <c r="B443" s="10">
        <v>61046</v>
      </c>
      <c r="C443" s="22" t="s">
        <v>447</v>
      </c>
      <c r="D443" s="11" t="s">
        <v>25</v>
      </c>
      <c r="E443" s="25" t="s">
        <v>687</v>
      </c>
      <c r="F443" s="36" t="str">
        <f>+_xlfn.XLOOKUP(E443,Data_Cleaning!$B$6:$B$50,Data_Cleaning!$C$6:$C$50)</f>
        <v>Barcelona​</v>
      </c>
      <c r="G443" s="40" t="str" cm="1">
        <f t="array" ref="G443">_xlfn.XLOOKUP(TRUE,ISNUMBER(SEARCH(Data_Cleaning!$F$6:$F$36,C443)),Data_Cleaning!$G$6:$G$36,"Other",0)</f>
        <v>Health Sciences</v>
      </c>
      <c r="H443" s="24" t="str">
        <f>+_xlfn.XLOOKUP(G443,Data_Cleaning!$J$6:$J$11,Data_Cleaning!$K$6:$K$11)</f>
        <v>Science and Technology</v>
      </c>
      <c r="I443" s="12">
        <v>10372</v>
      </c>
      <c r="J443" s="12">
        <v>5375</v>
      </c>
      <c r="K443" s="12">
        <v>7820</v>
      </c>
      <c r="L443" s="12">
        <v>5000</v>
      </c>
    </row>
    <row r="444" spans="2:12" ht="15" customHeight="1">
      <c r="B444" s="10">
        <v>71064</v>
      </c>
      <c r="C444" s="22" t="s">
        <v>246</v>
      </c>
      <c r="D444" s="11" t="s">
        <v>18</v>
      </c>
      <c r="E444" s="25" t="s">
        <v>696</v>
      </c>
      <c r="F444" s="36" t="str">
        <f>+_xlfn.XLOOKUP(E444,Data_Cleaning!$B$6:$B$50,Data_Cleaning!$C$6:$C$50)</f>
        <v>Tarragona​</v>
      </c>
      <c r="G444" s="40" t="str" cm="1">
        <f t="array" ref="G444">_xlfn.XLOOKUP(TRUE,ISNUMBER(SEARCH(Data_Cleaning!$F$6:$F$36,C444)),Data_Cleaning!$G$6:$G$36,"Other",0)</f>
        <v>Engineering and Architecture</v>
      </c>
      <c r="H444" s="24" t="str">
        <f>+_xlfn.XLOOKUP(G444,Data_Cleaning!$J$6:$J$11,Data_Cleaning!$K$6:$K$11)</f>
        <v>Science and Technology</v>
      </c>
      <c r="I444" s="12">
        <v>10378</v>
      </c>
      <c r="J444" s="12">
        <v>5000</v>
      </c>
      <c r="K444" s="12">
        <v>5000</v>
      </c>
      <c r="L444" s="12">
        <v>5000</v>
      </c>
    </row>
    <row r="445" spans="2:12" ht="15" customHeight="1">
      <c r="B445" s="10">
        <v>11077</v>
      </c>
      <c r="C445" s="22" t="s">
        <v>126</v>
      </c>
      <c r="D445" s="11" t="s">
        <v>16</v>
      </c>
      <c r="E445" s="25" t="s">
        <v>684</v>
      </c>
      <c r="F445" s="36" t="str">
        <f>+_xlfn.XLOOKUP(E445,Data_Cleaning!$B$6:$B$50,Data_Cleaning!$C$6:$C$50)</f>
        <v>Barcelona​</v>
      </c>
      <c r="G445" s="36" t="s">
        <v>756</v>
      </c>
      <c r="H445" s="24" t="str">
        <f>+_xlfn.XLOOKUP(G445,Data_Cleaning!$J$6:$J$11,Data_Cleaning!$K$6:$K$11)</f>
        <v>Science and Technology</v>
      </c>
      <c r="I445" s="12">
        <v>10391</v>
      </c>
      <c r="J445" s="12">
        <v>5000</v>
      </c>
      <c r="K445" s="12">
        <v>8270</v>
      </c>
      <c r="L445" s="12">
        <v>5000</v>
      </c>
    </row>
    <row r="446" spans="2:12" ht="15" customHeight="1">
      <c r="B446" s="10">
        <v>81063</v>
      </c>
      <c r="C446" s="22" t="s">
        <v>245</v>
      </c>
      <c r="D446" s="11" t="s">
        <v>23</v>
      </c>
      <c r="E446" s="25" t="s">
        <v>686</v>
      </c>
      <c r="F446" s="36" t="str">
        <f>+_xlfn.XLOOKUP(E446,Data_Cleaning!$B$6:$B$50,Data_Cleaning!$C$6:$C$50)</f>
        <v>Girona​</v>
      </c>
      <c r="G446" s="40" t="str" cm="1">
        <f t="array" ref="G446">_xlfn.XLOOKUP(TRUE,ISNUMBER(SEARCH(Data_Cleaning!$F$6:$F$36,C446)),Data_Cleaning!$G$6:$G$36,"Other",0)</f>
        <v>Engineering and Architecture</v>
      </c>
      <c r="H446" s="24" t="str">
        <f>+_xlfn.XLOOKUP(G446,Data_Cleaning!$J$6:$J$11,Data_Cleaning!$K$6:$K$11)</f>
        <v>Science and Technology</v>
      </c>
      <c r="I446" s="12">
        <v>10426</v>
      </c>
      <c r="J446" s="12">
        <v>5000</v>
      </c>
      <c r="K446" s="12">
        <v>7070</v>
      </c>
      <c r="L446" s="12">
        <v>5000</v>
      </c>
    </row>
    <row r="447" spans="2:12" ht="15" customHeight="1">
      <c r="B447" s="10">
        <v>41025</v>
      </c>
      <c r="C447" s="22" t="s">
        <v>524</v>
      </c>
      <c r="D447" s="11" t="s">
        <v>11</v>
      </c>
      <c r="E447" s="25" t="s">
        <v>684</v>
      </c>
      <c r="F447" s="36" t="str">
        <f>+_xlfn.XLOOKUP(E447,Data_Cleaning!$B$6:$B$50,Data_Cleaning!$C$6:$C$50)</f>
        <v>Barcelona​</v>
      </c>
      <c r="G447" s="40" t="s">
        <v>775</v>
      </c>
      <c r="H447" s="24" t="str">
        <f>+_xlfn.XLOOKUP(G447,Data_Cleaning!$J$6:$J$11,Data_Cleaning!$K$6:$K$11)</f>
        <v>Arts and Humanities</v>
      </c>
      <c r="I447" s="12">
        <v>10426</v>
      </c>
      <c r="J447" s="12">
        <v>6063</v>
      </c>
      <c r="K447" s="12">
        <v>5000</v>
      </c>
      <c r="L447" s="12">
        <v>7667</v>
      </c>
    </row>
    <row r="448" spans="2:12" ht="15" customHeight="1">
      <c r="B448" s="10">
        <v>41069</v>
      </c>
      <c r="C448" s="22" t="s">
        <v>308</v>
      </c>
      <c r="D448" s="11" t="s">
        <v>11</v>
      </c>
      <c r="E448" s="25" t="s">
        <v>684</v>
      </c>
      <c r="F448" s="36" t="str">
        <f>+_xlfn.XLOOKUP(E448,Data_Cleaning!$B$6:$B$50,Data_Cleaning!$C$6:$C$50)</f>
        <v>Barcelona​</v>
      </c>
      <c r="G448" s="36" t="str" cm="1">
        <f t="array" ref="G448">_xlfn.XLOOKUP(TRUE,ISNUMBER(SEARCH(Data_Cleaning!$F$6:$F$36,C448)),Data_Cleaning!$G$6:$G$36,"Other",0)</f>
        <v>Engineering and Architecture</v>
      </c>
      <c r="H448" s="24" t="str">
        <f>+_xlfn.XLOOKUP(G448,Data_Cleaning!$J$6:$J$11,Data_Cleaning!$K$6:$K$11)</f>
        <v>Science and Technology</v>
      </c>
      <c r="I448" s="12">
        <v>10433</v>
      </c>
      <c r="J448" s="12">
        <v>5000</v>
      </c>
      <c r="K448" s="12">
        <v>5000</v>
      </c>
      <c r="L448" s="12">
        <v>5000</v>
      </c>
    </row>
    <row r="449" spans="2:12" ht="15" customHeight="1">
      <c r="B449" s="10">
        <v>71032</v>
      </c>
      <c r="C449" s="23" t="s">
        <v>727</v>
      </c>
      <c r="D449" s="11" t="s">
        <v>18</v>
      </c>
      <c r="E449" s="25" t="s">
        <v>728</v>
      </c>
      <c r="F449" s="36" t="str">
        <f>+_xlfn.XLOOKUP(E449,Data_Cleaning!$B$6:$B$50,Data_Cleaning!$C$6:$C$50)</f>
        <v>Tarragona​</v>
      </c>
      <c r="G449" s="40" t="str" cm="1">
        <f t="array" ref="G449">_xlfn.XLOOKUP(TRUE,ISNUMBER(SEARCH(Data_Cleaning!$F$6:$F$36,C449)),Data_Cleaning!$G$6:$G$36,"Other",0)</f>
        <v>Health Sciences</v>
      </c>
      <c r="H449" s="24" t="str">
        <f>+_xlfn.XLOOKUP(G449,Data_Cleaning!$J$6:$J$11,Data_Cleaning!$K$6:$K$11)</f>
        <v>Science and Technology</v>
      </c>
      <c r="I449" s="12">
        <v>10440</v>
      </c>
      <c r="J449" s="12">
        <v>6375</v>
      </c>
      <c r="K449" s="12">
        <v>8710</v>
      </c>
      <c r="L449" s="12">
        <v>5000</v>
      </c>
    </row>
    <row r="450" spans="2:12" ht="15" customHeight="1">
      <c r="B450" s="10">
        <v>81066</v>
      </c>
      <c r="C450" s="22" t="s">
        <v>446</v>
      </c>
      <c r="D450" s="11" t="s">
        <v>23</v>
      </c>
      <c r="E450" s="25" t="s">
        <v>686</v>
      </c>
      <c r="F450" s="36" t="str">
        <f>+_xlfn.XLOOKUP(E450,Data_Cleaning!$B$6:$B$50,Data_Cleaning!$C$6:$C$50)</f>
        <v>Girona​</v>
      </c>
      <c r="G450" s="36" t="str" cm="1">
        <f t="array" ref="G450">_xlfn.XLOOKUP(TRUE,ISNUMBER(SEARCH(Data_Cleaning!$F$6:$F$36,C450)),Data_Cleaning!$G$6:$G$36,"Other",0)</f>
        <v>Health Sciences</v>
      </c>
      <c r="H450" s="24" t="str">
        <f>+_xlfn.XLOOKUP(G450,Data_Cleaning!$J$6:$J$11,Data_Cleaning!$K$6:$K$11)</f>
        <v>Science and Technology</v>
      </c>
      <c r="I450" s="12">
        <v>10445</v>
      </c>
      <c r="J450" s="12">
        <v>6250</v>
      </c>
      <c r="K450" s="12">
        <v>7890</v>
      </c>
      <c r="L450" s="12">
        <v>6167</v>
      </c>
    </row>
    <row r="451" spans="2:12" ht="15" customHeight="1">
      <c r="B451" s="10">
        <v>41013</v>
      </c>
      <c r="C451" s="22" t="s">
        <v>179</v>
      </c>
      <c r="D451" s="11" t="s">
        <v>11</v>
      </c>
      <c r="E451" s="25" t="s">
        <v>684</v>
      </c>
      <c r="F451" s="36" t="str">
        <f>+_xlfn.XLOOKUP(E451,Data_Cleaning!$B$6:$B$50,Data_Cleaning!$C$6:$C$50)</f>
        <v>Barcelona​</v>
      </c>
      <c r="G451" s="36" t="str" cm="1">
        <f t="array" ref="G451">_xlfn.XLOOKUP(TRUE,ISNUMBER(SEARCH(Data_Cleaning!$F$6:$F$36,C451)),Data_Cleaning!$G$6:$G$36,"Other",0)</f>
        <v>Social Sciences and Law</v>
      </c>
      <c r="H451" s="24" t="str">
        <f>+_xlfn.XLOOKUP(G451,Data_Cleaning!$J$6:$J$11,Data_Cleaning!$K$6:$K$11)</f>
        <v>Social Sciences</v>
      </c>
      <c r="I451" s="12">
        <v>10463</v>
      </c>
      <c r="J451" s="12">
        <v>5000</v>
      </c>
      <c r="K451" s="12">
        <v>7080</v>
      </c>
      <c r="L451" s="12">
        <v>5000</v>
      </c>
    </row>
    <row r="452" spans="2:12" ht="15" customHeight="1">
      <c r="B452" s="10">
        <v>31091</v>
      </c>
      <c r="C452" s="22" t="s">
        <v>251</v>
      </c>
      <c r="D452" s="11" t="s">
        <v>58</v>
      </c>
      <c r="E452" s="25" t="s">
        <v>714</v>
      </c>
      <c r="F452" s="36" t="str">
        <f>+_xlfn.XLOOKUP(E452,Data_Cleaning!$B$6:$B$50,Data_Cleaning!$C$6:$C$50)</f>
        <v>Barcelona​</v>
      </c>
      <c r="G452" s="36" t="str" cm="1">
        <f t="array" ref="G452">_xlfn.XLOOKUP(TRUE,ISNUMBER(SEARCH(Data_Cleaning!$F$6:$F$36,C452)),Data_Cleaning!$G$6:$G$36,"Other",0)</f>
        <v>Engineering and Architecture</v>
      </c>
      <c r="H452" s="24" t="str">
        <f>+_xlfn.XLOOKUP(G452,Data_Cleaning!$J$6:$J$11,Data_Cleaning!$K$6:$K$11)</f>
        <v>Science and Technology</v>
      </c>
      <c r="I452" s="12">
        <v>10550</v>
      </c>
      <c r="J452" s="12">
        <v>5750</v>
      </c>
      <c r="K452" s="12">
        <v>5000</v>
      </c>
      <c r="L452" s="12">
        <v>5000</v>
      </c>
    </row>
    <row r="453" spans="2:12" ht="15" customHeight="1">
      <c r="B453" s="10">
        <v>91058</v>
      </c>
      <c r="C453" s="22" t="s">
        <v>80</v>
      </c>
      <c r="D453" s="11" t="s">
        <v>28</v>
      </c>
      <c r="E453" s="25" t="s">
        <v>692</v>
      </c>
      <c r="F453" s="36" t="str">
        <f>+_xlfn.XLOOKUP(E453,Data_Cleaning!$B$6:$B$50,Data_Cleaning!$C$6:$C$50)</f>
        <v>Barcelona​</v>
      </c>
      <c r="G453" s="36" t="str" cm="1">
        <f t="array" ref="G453">_xlfn.XLOOKUP(TRUE,ISNUMBER(SEARCH(Data_Cleaning!$F$6:$F$36,C453)),Data_Cleaning!$G$6:$G$36,"Other",0)</f>
        <v>Health Sciences</v>
      </c>
      <c r="H453" s="24" t="str">
        <f>+_xlfn.XLOOKUP(G453,Data_Cleaning!$J$6:$J$11,Data_Cleaning!$K$6:$K$11)</f>
        <v>Science and Technology</v>
      </c>
      <c r="I453" s="12">
        <v>10566</v>
      </c>
      <c r="J453" s="12">
        <v>5000</v>
      </c>
      <c r="K453" s="12">
        <v>8750</v>
      </c>
      <c r="L453" s="12">
        <v>5000</v>
      </c>
    </row>
    <row r="454" spans="2:12" ht="15" customHeight="1">
      <c r="B454" s="10">
        <v>41014</v>
      </c>
      <c r="C454" s="22" t="s">
        <v>189</v>
      </c>
      <c r="D454" s="11" t="s">
        <v>11</v>
      </c>
      <c r="E454" s="25" t="s">
        <v>684</v>
      </c>
      <c r="F454" s="36" t="str">
        <f>+_xlfn.XLOOKUP(E454,Data_Cleaning!$B$6:$B$50,Data_Cleaning!$C$6:$C$50)</f>
        <v>Barcelona​</v>
      </c>
      <c r="G454" s="36" t="str" cm="1">
        <f t="array" ref="G454">_xlfn.XLOOKUP(TRUE,ISNUMBER(SEARCH(Data_Cleaning!$F$6:$F$36,C454)),Data_Cleaning!$G$6:$G$36,"Other",0)</f>
        <v>Social Sciences and Law</v>
      </c>
      <c r="H454" s="24" t="str">
        <f>+_xlfn.XLOOKUP(G454,Data_Cleaning!$J$6:$J$11,Data_Cleaning!$K$6:$K$11)</f>
        <v>Social Sciences</v>
      </c>
      <c r="I454" s="12">
        <v>10580</v>
      </c>
      <c r="J454" s="12">
        <v>5000</v>
      </c>
      <c r="K454" s="12">
        <v>5000</v>
      </c>
      <c r="L454" s="12">
        <v>5000</v>
      </c>
    </row>
    <row r="455" spans="2:12" ht="15" customHeight="1">
      <c r="B455" s="10">
        <v>71028</v>
      </c>
      <c r="C455" s="22" t="s">
        <v>456</v>
      </c>
      <c r="D455" s="11" t="s">
        <v>18</v>
      </c>
      <c r="E455" s="25" t="s">
        <v>691</v>
      </c>
      <c r="F455" s="36" t="str">
        <f>+_xlfn.XLOOKUP(E455,Data_Cleaning!$B$6:$B$50,Data_Cleaning!$C$6:$C$50)</f>
        <v>Tarragona​</v>
      </c>
      <c r="G455" s="36" t="str" cm="1">
        <f t="array" ref="G455">_xlfn.XLOOKUP(TRUE,ISNUMBER(SEARCH(Data_Cleaning!$F$6:$F$36,C455)),Data_Cleaning!$G$6:$G$36,"Other",0)</f>
        <v>Health Sciences</v>
      </c>
      <c r="H455" s="24" t="str">
        <f>+_xlfn.XLOOKUP(G455,Data_Cleaning!$J$6:$J$11,Data_Cleaning!$K$6:$K$11)</f>
        <v>Science and Technology</v>
      </c>
      <c r="I455" s="12">
        <v>10598</v>
      </c>
      <c r="J455" s="12">
        <v>5188</v>
      </c>
      <c r="K455" s="12">
        <v>8400</v>
      </c>
      <c r="L455" s="12">
        <v>5167</v>
      </c>
    </row>
    <row r="456" spans="2:12" ht="15" customHeight="1">
      <c r="B456" s="10">
        <v>31079</v>
      </c>
      <c r="C456" s="23" t="s">
        <v>749</v>
      </c>
      <c r="D456" s="11" t="s">
        <v>58</v>
      </c>
      <c r="E456" s="25" t="s">
        <v>697</v>
      </c>
      <c r="F456" s="36" t="str">
        <f>+_xlfn.XLOOKUP(E456,Data_Cleaning!$B$6:$B$50,Data_Cleaning!$C$6:$C$50)</f>
        <v>Barcelona​</v>
      </c>
      <c r="G456" s="36" t="str" cm="1">
        <f t="array" ref="G456">_xlfn.XLOOKUP(TRUE,ISNUMBER(SEARCH(Data_Cleaning!$F$6:$F$36,C456)),Data_Cleaning!$G$6:$G$36,"Other",0)</f>
        <v>Engineering and Architecture</v>
      </c>
      <c r="H456" s="24" t="str">
        <f>+_xlfn.XLOOKUP(G456,Data_Cleaning!$J$6:$J$11,Data_Cleaning!$K$6:$K$11)</f>
        <v>Science and Technology</v>
      </c>
      <c r="I456" s="12">
        <v>10608</v>
      </c>
      <c r="J456" s="12">
        <v>5000</v>
      </c>
      <c r="K456" s="12">
        <v>6680</v>
      </c>
      <c r="L456" s="12">
        <v>5000</v>
      </c>
    </row>
    <row r="457" spans="2:12" ht="15" customHeight="1">
      <c r="B457" s="10">
        <v>31059</v>
      </c>
      <c r="C457" s="22" t="s">
        <v>319</v>
      </c>
      <c r="D457" s="11" t="s">
        <v>58</v>
      </c>
      <c r="E457" s="25" t="s">
        <v>684</v>
      </c>
      <c r="F457" s="36" t="str">
        <f>+_xlfn.XLOOKUP(E457,Data_Cleaning!$B$6:$B$50,Data_Cleaning!$C$6:$C$50)</f>
        <v>Barcelona​</v>
      </c>
      <c r="G457" s="36" t="str" cm="1">
        <f t="array" ref="G457">_xlfn.XLOOKUP(TRUE,ISNUMBER(SEARCH(Data_Cleaning!$F$6:$F$36,C457)),Data_Cleaning!$G$6:$G$36,"Other",0)</f>
        <v>Engineering and Architecture</v>
      </c>
      <c r="H457" s="24" t="str">
        <f>+_xlfn.XLOOKUP(G457,Data_Cleaning!$J$6:$J$11,Data_Cleaning!$K$6:$K$11)</f>
        <v>Science and Technology</v>
      </c>
      <c r="I457" s="12">
        <v>10622</v>
      </c>
      <c r="J457" s="12">
        <v>5000</v>
      </c>
      <c r="K457" s="12">
        <v>5000</v>
      </c>
      <c r="L457" s="12">
        <v>5000</v>
      </c>
    </row>
    <row r="458" spans="2:12" ht="15" customHeight="1">
      <c r="B458" s="10">
        <v>61057</v>
      </c>
      <c r="C458" s="22" t="s">
        <v>406</v>
      </c>
      <c r="D458" s="11" t="s">
        <v>25</v>
      </c>
      <c r="E458" s="25" t="s">
        <v>687</v>
      </c>
      <c r="F458" s="36" t="str">
        <f>+_xlfn.XLOOKUP(E458,Data_Cleaning!$B$6:$B$50,Data_Cleaning!$C$6:$C$50)</f>
        <v>Barcelona​</v>
      </c>
      <c r="G458" s="36" t="str" cm="1">
        <f t="array" ref="G458">_xlfn.XLOOKUP(TRUE,ISNUMBER(SEARCH(Data_Cleaning!$F$6:$F$36,C458)),Data_Cleaning!$G$6:$G$36,"Other",0)</f>
        <v>Double Degree</v>
      </c>
      <c r="H458" s="24" t="s">
        <v>794</v>
      </c>
      <c r="I458" s="12">
        <v>10655</v>
      </c>
      <c r="J458" s="12">
        <v>5000</v>
      </c>
      <c r="K458" s="12">
        <v>7666</v>
      </c>
      <c r="L458" s="12">
        <v>5000</v>
      </c>
    </row>
    <row r="459" spans="2:12" ht="15" customHeight="1">
      <c r="B459" s="10">
        <v>11064</v>
      </c>
      <c r="C459" s="22" t="s">
        <v>32</v>
      </c>
      <c r="D459" s="11" t="s">
        <v>16</v>
      </c>
      <c r="E459" s="25" t="s">
        <v>684</v>
      </c>
      <c r="F459" s="36" t="str">
        <f>+_xlfn.XLOOKUP(E459,Data_Cleaning!$B$6:$B$50,Data_Cleaning!$C$6:$C$50)</f>
        <v>Barcelona​</v>
      </c>
      <c r="G459" s="36" t="str" cm="1">
        <f t="array" ref="G459">_xlfn.XLOOKUP(TRUE,ISNUMBER(SEARCH(Data_Cleaning!$F$6:$F$36,C459)),Data_Cleaning!$G$6:$G$36,"Other",0)</f>
        <v>Double Degree</v>
      </c>
      <c r="H459" s="24" t="s">
        <v>795</v>
      </c>
      <c r="I459" s="12">
        <v>10692</v>
      </c>
      <c r="J459" s="12">
        <v>5000</v>
      </c>
      <c r="K459" s="12">
        <v>6860</v>
      </c>
      <c r="L459" s="12">
        <v>5000</v>
      </c>
    </row>
    <row r="460" spans="2:12" ht="15" customHeight="1">
      <c r="B460" s="10">
        <v>21111</v>
      </c>
      <c r="C460" s="23" t="s">
        <v>623</v>
      </c>
      <c r="D460" s="11" t="s">
        <v>20</v>
      </c>
      <c r="E460" s="25" t="s">
        <v>685</v>
      </c>
      <c r="F460" s="36" t="str">
        <f>+_xlfn.XLOOKUP(E460,Data_Cleaning!$B$6:$B$50,Data_Cleaning!$C$6:$C$50)</f>
        <v>Barcelona​</v>
      </c>
      <c r="G460" s="36" t="str" cm="1">
        <f t="array" ref="G460">_xlfn.XLOOKUP(TRUE,ISNUMBER(SEARCH(Data_Cleaning!$F$6:$F$36,C460)),Data_Cleaning!$G$6:$G$36,"Other",0)</f>
        <v>Double Degree</v>
      </c>
      <c r="H460" s="24" t="s">
        <v>775</v>
      </c>
      <c r="I460" s="12">
        <v>10693</v>
      </c>
      <c r="J460" s="12">
        <v>5000</v>
      </c>
      <c r="K460" s="12">
        <v>7070</v>
      </c>
      <c r="L460" s="12">
        <v>5000</v>
      </c>
    </row>
    <row r="461" spans="2:12" ht="15" customHeight="1">
      <c r="B461" s="10">
        <v>11101</v>
      </c>
      <c r="C461" s="22" t="s">
        <v>163</v>
      </c>
      <c r="D461" s="11" t="s">
        <v>16</v>
      </c>
      <c r="E461" s="25" t="s">
        <v>684</v>
      </c>
      <c r="F461" s="36" t="str">
        <f>+_xlfn.XLOOKUP(E461,Data_Cleaning!$B$6:$B$50,Data_Cleaning!$C$6:$C$50)</f>
        <v>Barcelona​</v>
      </c>
      <c r="G461" s="36" t="s">
        <v>775</v>
      </c>
      <c r="H461" s="24" t="str">
        <f>+_xlfn.XLOOKUP(G461,Data_Cleaning!$J$6:$J$11,Data_Cleaning!$K$6:$K$11)</f>
        <v>Arts and Humanities</v>
      </c>
      <c r="I461" s="12">
        <v>10700</v>
      </c>
      <c r="J461" s="12">
        <v>8125</v>
      </c>
      <c r="K461" s="12">
        <v>5000</v>
      </c>
      <c r="L461" s="12">
        <v>7167</v>
      </c>
    </row>
    <row r="462" spans="2:12" ht="15" customHeight="1">
      <c r="B462" s="10">
        <v>11072</v>
      </c>
      <c r="C462" s="23" t="s">
        <v>622</v>
      </c>
      <c r="D462" s="11" t="s">
        <v>16</v>
      </c>
      <c r="E462" s="25" t="s">
        <v>684</v>
      </c>
      <c r="F462" s="36" t="str">
        <f>+_xlfn.XLOOKUP(E462,Data_Cleaning!$B$6:$B$50,Data_Cleaning!$C$6:$C$50)</f>
        <v>Barcelona​</v>
      </c>
      <c r="G462" s="36" t="str" cm="1">
        <f t="array" ref="G462">_xlfn.XLOOKUP(TRUE,ISNUMBER(SEARCH(Data_Cleaning!$F$6:$F$36,C462)),Data_Cleaning!$G$6:$G$36,"Other",0)</f>
        <v>Double Degree</v>
      </c>
      <c r="H462" s="24" t="s">
        <v>775</v>
      </c>
      <c r="I462" s="12">
        <v>10710</v>
      </c>
      <c r="J462" s="12">
        <v>5000</v>
      </c>
      <c r="K462" s="12">
        <v>6960</v>
      </c>
      <c r="L462" s="12">
        <v>5000</v>
      </c>
    </row>
    <row r="463" spans="2:12" ht="15" customHeight="1">
      <c r="B463" s="10">
        <v>21008</v>
      </c>
      <c r="C463" s="22" t="s">
        <v>79</v>
      </c>
      <c r="D463" s="11" t="s">
        <v>20</v>
      </c>
      <c r="E463" s="25" t="s">
        <v>685</v>
      </c>
      <c r="F463" s="36" t="str">
        <f>+_xlfn.XLOOKUP(E463,Data_Cleaning!$B$6:$B$50,Data_Cleaning!$C$6:$C$50)</f>
        <v>Barcelona​</v>
      </c>
      <c r="G463" s="40" t="str" cm="1">
        <f t="array" ref="G463">_xlfn.XLOOKUP(TRUE,ISNUMBER(SEARCH(Data_Cleaning!$F$6:$F$36,C463)),Data_Cleaning!$G$6:$G$36,"Other",0)</f>
        <v>Sciences</v>
      </c>
      <c r="H463" s="24" t="str">
        <f>+_xlfn.XLOOKUP(G463,Data_Cleaning!$J$6:$J$11,Data_Cleaning!$K$6:$K$11)</f>
        <v>Science and Technology</v>
      </c>
      <c r="I463" s="12">
        <v>10714</v>
      </c>
      <c r="J463" s="12">
        <v>6625</v>
      </c>
      <c r="K463" s="12">
        <v>7325</v>
      </c>
      <c r="L463" s="12">
        <v>7000</v>
      </c>
    </row>
    <row r="464" spans="2:12" ht="15" customHeight="1">
      <c r="B464" s="10">
        <v>21150</v>
      </c>
      <c r="C464" s="22" t="s">
        <v>504</v>
      </c>
      <c r="D464" s="11" t="s">
        <v>20</v>
      </c>
      <c r="E464" s="25" t="s">
        <v>685</v>
      </c>
      <c r="F464" s="36" t="str">
        <f>+_xlfn.XLOOKUP(E464,Data_Cleaning!$B$6:$B$50,Data_Cleaning!$C$6:$C$50)</f>
        <v>Barcelona​</v>
      </c>
      <c r="G464" s="36" t="s">
        <v>756</v>
      </c>
      <c r="H464" s="24" t="str">
        <f>+_xlfn.XLOOKUP(G464,Data_Cleaning!$J$6:$J$11,Data_Cleaning!$K$6:$K$11)</f>
        <v>Science and Technology</v>
      </c>
      <c r="I464" s="12">
        <v>10736</v>
      </c>
      <c r="J464" s="12">
        <v>5000</v>
      </c>
      <c r="K464" s="12">
        <v>5000</v>
      </c>
      <c r="L464" s="12">
        <v>5000</v>
      </c>
    </row>
    <row r="465" spans="2:12" ht="15" customHeight="1">
      <c r="B465" s="10">
        <v>41043</v>
      </c>
      <c r="C465" s="23" t="s">
        <v>615</v>
      </c>
      <c r="D465" s="11" t="s">
        <v>11</v>
      </c>
      <c r="E465" s="25" t="s">
        <v>684</v>
      </c>
      <c r="F465" s="36" t="str">
        <f>+_xlfn.XLOOKUP(E465,Data_Cleaning!$B$6:$B$50,Data_Cleaning!$C$6:$C$50)</f>
        <v>Barcelona​</v>
      </c>
      <c r="G465" s="36" t="str" cm="1">
        <f t="array" ref="G465">_xlfn.XLOOKUP(TRUE,ISNUMBER(SEARCH(Data_Cleaning!$F$6:$F$36,C465)),Data_Cleaning!$G$6:$G$36,"Other",0)</f>
        <v>Double Degree</v>
      </c>
      <c r="H465" s="24" t="s">
        <v>795</v>
      </c>
      <c r="I465" s="12">
        <v>10776</v>
      </c>
      <c r="J465" s="12">
        <v>5000</v>
      </c>
      <c r="K465" s="12">
        <v>8320</v>
      </c>
      <c r="L465" s="12">
        <v>5000</v>
      </c>
    </row>
    <row r="466" spans="2:12" ht="15" customHeight="1">
      <c r="B466" s="10">
        <v>71006</v>
      </c>
      <c r="C466" s="22" t="s">
        <v>89</v>
      </c>
      <c r="D466" s="11" t="s">
        <v>18</v>
      </c>
      <c r="E466" s="25" t="s">
        <v>696</v>
      </c>
      <c r="F466" s="36" t="str">
        <f>+_xlfn.XLOOKUP(E466,Data_Cleaning!$B$6:$B$50,Data_Cleaning!$C$6:$C$50)</f>
        <v>Tarragona​</v>
      </c>
      <c r="G466" s="36" t="s">
        <v>768</v>
      </c>
      <c r="H466" s="24" t="str">
        <f>+_xlfn.XLOOKUP(G466,Data_Cleaning!$J$6:$J$11,Data_Cleaning!$K$6:$K$11)</f>
        <v>Science and Technology</v>
      </c>
      <c r="I466" s="12">
        <v>10816</v>
      </c>
      <c r="J466" s="12">
        <v>5000</v>
      </c>
      <c r="K466" s="12">
        <v>5000</v>
      </c>
      <c r="L466" s="12">
        <v>5000</v>
      </c>
    </row>
    <row r="467" spans="2:12" ht="15" customHeight="1">
      <c r="B467" s="10">
        <v>31022</v>
      </c>
      <c r="C467" s="22" t="s">
        <v>256</v>
      </c>
      <c r="D467" s="11" t="s">
        <v>58</v>
      </c>
      <c r="E467" s="25" t="s">
        <v>706</v>
      </c>
      <c r="F467" s="36" t="str">
        <f>+_xlfn.XLOOKUP(E467,Data_Cleaning!$B$6:$B$50,Data_Cleaning!$C$6:$C$50)</f>
        <v>Barcelona​</v>
      </c>
      <c r="G467" s="36" t="str" cm="1">
        <f t="array" ref="G467">_xlfn.XLOOKUP(TRUE,ISNUMBER(SEARCH(Data_Cleaning!$F$6:$F$36,C467)),Data_Cleaning!$G$6:$G$36,"Other",0)</f>
        <v>Engineering and Architecture</v>
      </c>
      <c r="H467" s="24" t="str">
        <f>+_xlfn.XLOOKUP(G467,Data_Cleaning!$J$6:$J$11,Data_Cleaning!$K$6:$K$11)</f>
        <v>Science and Technology</v>
      </c>
      <c r="I467" s="12">
        <v>10826</v>
      </c>
      <c r="J467" s="12">
        <v>5000</v>
      </c>
      <c r="K467" s="12">
        <v>5000</v>
      </c>
      <c r="L467" s="12">
        <v>5000</v>
      </c>
    </row>
    <row r="468" spans="2:12" ht="15" customHeight="1">
      <c r="B468" s="10">
        <v>21085</v>
      </c>
      <c r="C468" s="22" t="s">
        <v>137</v>
      </c>
      <c r="D468" s="11" t="s">
        <v>20</v>
      </c>
      <c r="E468" s="25" t="s">
        <v>685</v>
      </c>
      <c r="F468" s="36" t="str">
        <f>+_xlfn.XLOOKUP(E468,Data_Cleaning!$B$6:$B$50,Data_Cleaning!$C$6:$C$50)</f>
        <v>Barcelona​</v>
      </c>
      <c r="G468" s="36" t="str" cm="1">
        <f t="array" ref="G468">_xlfn.XLOOKUP(TRUE,ISNUMBER(SEARCH(Data_Cleaning!$F$6:$F$36,C468)),Data_Cleaning!$G$6:$G$36,"Other",0)</f>
        <v>Social Sciences and Law</v>
      </c>
      <c r="H468" s="24" t="str">
        <f>+_xlfn.XLOOKUP(G468,Data_Cleaning!$J$6:$J$11,Data_Cleaning!$K$6:$K$11)</f>
        <v>Social Sciences</v>
      </c>
      <c r="I468" s="12">
        <v>10832</v>
      </c>
      <c r="J468" s="12">
        <v>6375</v>
      </c>
      <c r="K468" s="12">
        <v>5000</v>
      </c>
      <c r="L468" s="12">
        <v>5500</v>
      </c>
    </row>
    <row r="469" spans="2:12" ht="15" customHeight="1">
      <c r="B469" s="10">
        <v>61019</v>
      </c>
      <c r="C469" s="22" t="s">
        <v>394</v>
      </c>
      <c r="D469" s="11" t="s">
        <v>25</v>
      </c>
      <c r="E469" s="25" t="s">
        <v>688</v>
      </c>
      <c r="F469" s="36" t="str">
        <f>+_xlfn.XLOOKUP(E469,Data_Cleaning!$B$6:$B$50,Data_Cleaning!$C$6:$C$50)</f>
        <v>Lleida​</v>
      </c>
      <c r="G469" s="36" t="str" cm="1">
        <f t="array" ref="G469">_xlfn.XLOOKUP(TRUE,ISNUMBER(SEARCH(Data_Cleaning!$F$6:$F$36,C469)),Data_Cleaning!$G$6:$G$36,"Other",0)</f>
        <v>Health Sciences</v>
      </c>
      <c r="H469" s="24" t="str">
        <f>+_xlfn.XLOOKUP(G469,Data_Cleaning!$J$6:$J$11,Data_Cleaning!$K$6:$K$11)</f>
        <v>Science and Technology</v>
      </c>
      <c r="I469" s="12">
        <v>10860</v>
      </c>
      <c r="J469" s="12">
        <v>7313</v>
      </c>
      <c r="K469" s="12">
        <v>9590</v>
      </c>
      <c r="L469" s="12">
        <v>5000</v>
      </c>
    </row>
    <row r="470" spans="2:12" ht="15" customHeight="1">
      <c r="B470" s="10">
        <v>21108</v>
      </c>
      <c r="C470" s="22" t="s">
        <v>154</v>
      </c>
      <c r="D470" s="11" t="s">
        <v>20</v>
      </c>
      <c r="E470" s="25" t="s">
        <v>685</v>
      </c>
      <c r="F470" s="36" t="str">
        <f>+_xlfn.XLOOKUP(E470,Data_Cleaning!$B$6:$B$50,Data_Cleaning!$C$6:$C$50)</f>
        <v>Barcelona​</v>
      </c>
      <c r="G470" s="36" t="str" cm="1">
        <f t="array" ref="G470">_xlfn.XLOOKUP(TRUE,ISNUMBER(SEARCH(Data_Cleaning!$F$6:$F$36,C470)),Data_Cleaning!$G$6:$G$36,"Other",0)</f>
        <v>Double Degree</v>
      </c>
      <c r="H470" s="24" t="s">
        <v>795</v>
      </c>
      <c r="I470" s="12">
        <v>10866</v>
      </c>
      <c r="J470" s="12">
        <v>5094</v>
      </c>
      <c r="K470" s="12">
        <v>6790</v>
      </c>
      <c r="L470" s="12">
        <v>5000</v>
      </c>
    </row>
    <row r="471" spans="2:12" ht="15" customHeight="1">
      <c r="B471" s="10">
        <v>21097</v>
      </c>
      <c r="C471" s="22" t="s">
        <v>541</v>
      </c>
      <c r="D471" s="11" t="s">
        <v>20</v>
      </c>
      <c r="E471" s="25" t="s">
        <v>685</v>
      </c>
      <c r="F471" s="36" t="str">
        <f>+_xlfn.XLOOKUP(E471,Data_Cleaning!$B$6:$B$50,Data_Cleaning!$C$6:$C$50)</f>
        <v>Barcelona​</v>
      </c>
      <c r="G471" s="36" t="str" cm="1">
        <f t="array" ref="G471">_xlfn.XLOOKUP(TRUE,ISNUMBER(SEARCH(Data_Cleaning!$F$6:$F$36,C471)),Data_Cleaning!$G$6:$G$36,"Other",0)</f>
        <v>Social Sciences and Law</v>
      </c>
      <c r="H471" s="24" t="str">
        <f>+_xlfn.XLOOKUP(G471,Data_Cleaning!$J$6:$J$11,Data_Cleaning!$K$6:$K$11)</f>
        <v>Social Sciences</v>
      </c>
      <c r="I471" s="12">
        <v>10892</v>
      </c>
      <c r="J471" s="12">
        <v>5000</v>
      </c>
      <c r="K471" s="12">
        <v>5000</v>
      </c>
      <c r="L471" s="12">
        <v>5000</v>
      </c>
    </row>
    <row r="472" spans="2:12" ht="15" customHeight="1">
      <c r="B472" s="10">
        <v>91917</v>
      </c>
      <c r="C472" s="22" t="s">
        <v>71</v>
      </c>
      <c r="D472" s="13" t="s">
        <v>72</v>
      </c>
      <c r="E472" s="25" t="s">
        <v>699</v>
      </c>
      <c r="F472" s="36" t="str">
        <f>+_xlfn.XLOOKUP(E472,Data_Cleaning!$B$6:$B$50,Data_Cleaning!$C$6:$C$50)</f>
        <v>Barcelona​</v>
      </c>
      <c r="G472" s="36" t="s">
        <v>768</v>
      </c>
      <c r="H472" s="24" t="str">
        <f>+_xlfn.XLOOKUP(G472,Data_Cleaning!$J$6:$J$11,Data_Cleaning!$K$6:$K$11)</f>
        <v>Science and Technology</v>
      </c>
      <c r="I472" s="12">
        <v>10900</v>
      </c>
      <c r="J472" s="12">
        <v>5000</v>
      </c>
      <c r="K472" s="12">
        <v>7900</v>
      </c>
      <c r="L472" s="12">
        <v>5000</v>
      </c>
    </row>
    <row r="473" spans="2:12" ht="15" customHeight="1">
      <c r="B473" s="10">
        <v>91922</v>
      </c>
      <c r="C473" s="22" t="s">
        <v>194</v>
      </c>
      <c r="D473" s="11" t="s">
        <v>195</v>
      </c>
      <c r="E473" s="25" t="s">
        <v>684</v>
      </c>
      <c r="F473" s="36" t="str">
        <f>+_xlfn.XLOOKUP(E473,Data_Cleaning!$B$6:$B$50,Data_Cleaning!$C$6:$C$50)</f>
        <v>Barcelona​</v>
      </c>
      <c r="G473" s="36" t="str" cm="1">
        <f t="array" ref="G473">_xlfn.XLOOKUP(TRUE,ISNUMBER(SEARCH(Data_Cleaning!$F$6:$F$36,C473)),Data_Cleaning!$G$6:$G$36,"Other",0)</f>
        <v>Double Degree</v>
      </c>
      <c r="H473" s="24" t="s">
        <v>795</v>
      </c>
      <c r="I473" s="12">
        <v>10900</v>
      </c>
      <c r="J473" s="12">
        <v>5000</v>
      </c>
      <c r="K473" s="12">
        <v>6820</v>
      </c>
      <c r="L473" s="12">
        <v>5000</v>
      </c>
    </row>
    <row r="474" spans="2:12" ht="15" customHeight="1">
      <c r="B474" s="10">
        <v>21009</v>
      </c>
      <c r="C474" s="22" t="s">
        <v>74</v>
      </c>
      <c r="D474" s="11" t="s">
        <v>20</v>
      </c>
      <c r="E474" s="25" t="s">
        <v>685</v>
      </c>
      <c r="F474" s="36" t="str">
        <f>+_xlfn.XLOOKUP(E474,Data_Cleaning!$B$6:$B$50,Data_Cleaning!$C$6:$C$50)</f>
        <v>Barcelona​</v>
      </c>
      <c r="G474" s="36" t="str" cm="1">
        <f t="array" ref="G474">_xlfn.XLOOKUP(TRUE,ISNUMBER(SEARCH(Data_Cleaning!$F$6:$F$36,C474)),Data_Cleaning!$G$6:$G$36,"Other",0)</f>
        <v>Sciences</v>
      </c>
      <c r="H474" s="24" t="str">
        <f>+_xlfn.XLOOKUP(G474,Data_Cleaning!$J$6:$J$11,Data_Cleaning!$K$6:$K$11)</f>
        <v>Science and Technology</v>
      </c>
      <c r="I474" s="12">
        <v>10908</v>
      </c>
      <c r="J474" s="12">
        <v>5688</v>
      </c>
      <c r="K474" s="12">
        <v>7150</v>
      </c>
      <c r="L474" s="12">
        <v>5000</v>
      </c>
    </row>
    <row r="475" spans="2:12" ht="15" customHeight="1">
      <c r="B475" s="10">
        <v>11095</v>
      </c>
      <c r="C475" s="23" t="s">
        <v>788</v>
      </c>
      <c r="D475" s="11" t="s">
        <v>16</v>
      </c>
      <c r="E475" s="25" t="s">
        <v>684</v>
      </c>
      <c r="F475" s="36" t="str">
        <f>+_xlfn.XLOOKUP(E475,Data_Cleaning!$B$6:$B$50,Data_Cleaning!$C$6:$C$50)</f>
        <v>Barcelona​</v>
      </c>
      <c r="G475" s="36" t="str" cm="1">
        <f t="array" ref="G475">_xlfn.XLOOKUP(TRUE,ISNUMBER(SEARCH(Data_Cleaning!$F$6:$F$36,C475)),Data_Cleaning!$G$6:$G$36,"Other",0)</f>
        <v>Double Degree</v>
      </c>
      <c r="H475" s="24" t="s">
        <v>794</v>
      </c>
      <c r="I475" s="12">
        <v>10916</v>
      </c>
      <c r="J475" s="12">
        <v>7250</v>
      </c>
      <c r="K475" s="12">
        <v>5000</v>
      </c>
      <c r="L475" s="12">
        <v>5000</v>
      </c>
    </row>
    <row r="476" spans="2:12" ht="15" customHeight="1">
      <c r="B476" s="10">
        <v>21044</v>
      </c>
      <c r="C476" s="22" t="s">
        <v>444</v>
      </c>
      <c r="D476" s="11" t="s">
        <v>20</v>
      </c>
      <c r="E476" s="25" t="s">
        <v>685</v>
      </c>
      <c r="F476" s="36" t="str">
        <f>+_xlfn.XLOOKUP(E476,Data_Cleaning!$B$6:$B$50,Data_Cleaning!$C$6:$C$50)</f>
        <v>Barcelona​</v>
      </c>
      <c r="G476" s="40" t="str" cm="1">
        <f t="array" ref="G476">_xlfn.XLOOKUP(TRUE,ISNUMBER(SEARCH(Data_Cleaning!$F$6:$F$36,C476)),Data_Cleaning!$G$6:$G$36,"Other",0)</f>
        <v>Health Sciences</v>
      </c>
      <c r="H476" s="24" t="str">
        <f>+_xlfn.XLOOKUP(G476,Data_Cleaning!$J$6:$J$11,Data_Cleaning!$K$6:$K$11)</f>
        <v>Science and Technology</v>
      </c>
      <c r="I476" s="12">
        <v>10922</v>
      </c>
      <c r="J476" s="12">
        <v>6750</v>
      </c>
      <c r="K476" s="12">
        <v>7960</v>
      </c>
      <c r="L476" s="12">
        <v>5833</v>
      </c>
    </row>
    <row r="477" spans="2:12" ht="15" customHeight="1">
      <c r="B477" s="10">
        <v>41008</v>
      </c>
      <c r="C477" s="22" t="s">
        <v>15</v>
      </c>
      <c r="D477" s="11" t="s">
        <v>11</v>
      </c>
      <c r="E477" s="25" t="s">
        <v>684</v>
      </c>
      <c r="F477" s="36" t="str">
        <f>+_xlfn.XLOOKUP(E477,Data_Cleaning!$B$6:$B$50,Data_Cleaning!$C$6:$C$50)</f>
        <v>Barcelona​</v>
      </c>
      <c r="G477" s="40" t="str" cm="1">
        <f t="array" ref="G477">_xlfn.XLOOKUP(TRUE,ISNUMBER(SEARCH(Data_Cleaning!$F$6:$F$36,C477)),Data_Cleaning!$G$6:$G$36,"Other",0)</f>
        <v>Social Sciences and Law</v>
      </c>
      <c r="H477" s="24" t="str">
        <f>+_xlfn.XLOOKUP(G477,Data_Cleaning!$J$6:$J$11,Data_Cleaning!$K$6:$K$11)</f>
        <v>Social Sciences</v>
      </c>
      <c r="I477" s="12">
        <v>10966</v>
      </c>
      <c r="J477" s="12">
        <v>5000</v>
      </c>
      <c r="K477" s="12">
        <v>5000</v>
      </c>
      <c r="L477" s="12">
        <v>5000</v>
      </c>
    </row>
    <row r="478" spans="2:12" ht="15" customHeight="1">
      <c r="B478" s="10">
        <v>11037</v>
      </c>
      <c r="C478" s="22" t="s">
        <v>448</v>
      </c>
      <c r="D478" s="11" t="s">
        <v>16</v>
      </c>
      <c r="E478" s="25" t="s">
        <v>709</v>
      </c>
      <c r="F478" s="36" t="str">
        <f>+_xlfn.XLOOKUP(E478,Data_Cleaning!$B$6:$B$50,Data_Cleaning!$C$6:$C$50)</f>
        <v>Barcelona​</v>
      </c>
      <c r="G478" s="40" t="str" cm="1">
        <f t="array" ref="G478">_xlfn.XLOOKUP(TRUE,ISNUMBER(SEARCH(Data_Cleaning!$F$6:$F$36,C478)),Data_Cleaning!$G$6:$G$36,"Other",0)</f>
        <v>Health Sciences</v>
      </c>
      <c r="H478" s="24" t="str">
        <f>+_xlfn.XLOOKUP(G478,Data_Cleaning!$J$6:$J$11,Data_Cleaning!$K$6:$K$11)</f>
        <v>Science and Technology</v>
      </c>
      <c r="I478" s="12">
        <v>10989</v>
      </c>
      <c r="J478" s="12">
        <v>6719</v>
      </c>
      <c r="K478" s="12">
        <v>8170</v>
      </c>
      <c r="L478" s="12">
        <v>5667</v>
      </c>
    </row>
    <row r="479" spans="2:12" ht="15" customHeight="1">
      <c r="B479" s="10">
        <v>21050</v>
      </c>
      <c r="C479" s="22" t="s">
        <v>499</v>
      </c>
      <c r="D479" s="11" t="s">
        <v>20</v>
      </c>
      <c r="E479" s="25" t="s">
        <v>685</v>
      </c>
      <c r="F479" s="36" t="str">
        <f>+_xlfn.XLOOKUP(E479,Data_Cleaning!$B$6:$B$50,Data_Cleaning!$C$6:$C$50)</f>
        <v>Barcelona​</v>
      </c>
      <c r="G479" s="40" t="str" cm="1">
        <f t="array" ref="G479">_xlfn.XLOOKUP(TRUE,ISNUMBER(SEARCH(Data_Cleaning!$F$6:$F$36,C479)),Data_Cleaning!$G$6:$G$36,"Other",0)</f>
        <v>Sciences</v>
      </c>
      <c r="H479" s="24" t="str">
        <f>+_xlfn.XLOOKUP(G479,Data_Cleaning!$J$6:$J$11,Data_Cleaning!$K$6:$K$11)</f>
        <v>Science and Technology</v>
      </c>
      <c r="I479" s="12">
        <v>11016</v>
      </c>
      <c r="J479" s="12">
        <v>5000</v>
      </c>
      <c r="K479" s="12">
        <v>6960</v>
      </c>
      <c r="L479" s="12">
        <v>5000</v>
      </c>
    </row>
    <row r="480" spans="2:12" ht="15" customHeight="1">
      <c r="B480" s="10">
        <v>71005</v>
      </c>
      <c r="C480" s="22" t="s">
        <v>83</v>
      </c>
      <c r="D480" s="11" t="s">
        <v>18</v>
      </c>
      <c r="E480" s="25" t="s">
        <v>696</v>
      </c>
      <c r="F480" s="36" t="str">
        <f>+_xlfn.XLOOKUP(E480,Data_Cleaning!$B$6:$B$50,Data_Cleaning!$C$6:$C$50)</f>
        <v>Tarragona​</v>
      </c>
      <c r="G480" s="40" t="str" cm="1">
        <f t="array" ref="G480">_xlfn.XLOOKUP(TRUE,ISNUMBER(SEARCH(Data_Cleaning!$F$6:$F$36,C480)),Data_Cleaning!$G$6:$G$36,"Other",0)</f>
        <v>Sciences</v>
      </c>
      <c r="H480" s="24" t="str">
        <f>+_xlfn.XLOOKUP(G480,Data_Cleaning!$J$6:$J$11,Data_Cleaning!$K$6:$K$11)</f>
        <v>Science and Technology</v>
      </c>
      <c r="I480" s="12">
        <v>11020</v>
      </c>
      <c r="J480" s="12">
        <v>5000</v>
      </c>
      <c r="K480" s="12">
        <v>5000</v>
      </c>
      <c r="L480" s="12">
        <v>5000</v>
      </c>
    </row>
    <row r="481" spans="2:12" ht="15" customHeight="1">
      <c r="B481" s="10">
        <v>41050</v>
      </c>
      <c r="C481" s="22" t="s">
        <v>423</v>
      </c>
      <c r="D481" s="11" t="s">
        <v>11</v>
      </c>
      <c r="E481" s="25" t="s">
        <v>684</v>
      </c>
      <c r="F481" s="36" t="str">
        <f>+_xlfn.XLOOKUP(E481,Data_Cleaning!$B$6:$B$50,Data_Cleaning!$C$6:$C$50)</f>
        <v>Barcelona​</v>
      </c>
      <c r="G481" s="40" t="s">
        <v>753</v>
      </c>
      <c r="H481" s="24" t="str">
        <f>+_xlfn.XLOOKUP(G481,Data_Cleaning!$J$6:$J$11,Data_Cleaning!$K$6:$K$11)</f>
        <v>Science and Technology</v>
      </c>
      <c r="I481" s="12">
        <v>11030</v>
      </c>
      <c r="J481" s="12">
        <v>5000</v>
      </c>
      <c r="K481" s="12">
        <v>7560</v>
      </c>
      <c r="L481" s="12">
        <v>5000</v>
      </c>
    </row>
    <row r="482" spans="2:12" ht="15" customHeight="1">
      <c r="B482" s="10">
        <v>61029</v>
      </c>
      <c r="C482" s="22" t="s">
        <v>449</v>
      </c>
      <c r="D482" s="11" t="s">
        <v>25</v>
      </c>
      <c r="E482" s="25" t="s">
        <v>688</v>
      </c>
      <c r="F482" s="36" t="str">
        <f>+_xlfn.XLOOKUP(E482,Data_Cleaning!$B$6:$B$50,Data_Cleaning!$C$6:$C$50)</f>
        <v>Lleida​</v>
      </c>
      <c r="G482" s="36" t="str" cm="1">
        <f t="array" ref="G482">_xlfn.XLOOKUP(TRUE,ISNUMBER(SEARCH(Data_Cleaning!$F$6:$F$36,C482)),Data_Cleaning!$G$6:$G$36,"Other",0)</f>
        <v>Health Sciences</v>
      </c>
      <c r="H482" s="24" t="str">
        <f>+_xlfn.XLOOKUP(G482,Data_Cleaning!$J$6:$J$11,Data_Cleaning!$K$6:$K$11)</f>
        <v>Science and Technology</v>
      </c>
      <c r="I482" s="12">
        <v>11042</v>
      </c>
      <c r="J482" s="12">
        <v>5000</v>
      </c>
      <c r="K482" s="12">
        <v>8390</v>
      </c>
      <c r="L482" s="12">
        <v>5000</v>
      </c>
    </row>
    <row r="483" spans="2:12" ht="15" customHeight="1">
      <c r="B483" s="10">
        <v>61036</v>
      </c>
      <c r="C483" s="23" t="s">
        <v>603</v>
      </c>
      <c r="D483" s="11" t="s">
        <v>25</v>
      </c>
      <c r="E483" s="25" t="s">
        <v>688</v>
      </c>
      <c r="F483" s="36" t="str">
        <f>+_xlfn.XLOOKUP(E483,Data_Cleaning!$B$6:$B$50,Data_Cleaning!$C$6:$C$50)</f>
        <v>Lleida​</v>
      </c>
      <c r="G483" s="36" t="str" cm="1">
        <f t="array" ref="G483">_xlfn.XLOOKUP(TRUE,ISNUMBER(SEARCH(Data_Cleaning!$F$6:$F$36,C483)),Data_Cleaning!$G$6:$G$36,"Other",0)</f>
        <v>Double Degree</v>
      </c>
      <c r="H483" s="24" t="s">
        <v>794</v>
      </c>
      <c r="I483" s="12">
        <v>11050</v>
      </c>
      <c r="J483" s="12">
        <v>5000</v>
      </c>
      <c r="K483" s="12">
        <v>5000</v>
      </c>
      <c r="L483" s="12">
        <v>5000</v>
      </c>
    </row>
    <row r="484" spans="2:12" ht="15" customHeight="1">
      <c r="B484" s="10">
        <v>21139</v>
      </c>
      <c r="C484" s="23" t="s">
        <v>681</v>
      </c>
      <c r="D484" s="11" t="s">
        <v>20</v>
      </c>
      <c r="E484" s="25" t="s">
        <v>685</v>
      </c>
      <c r="F484" s="36" t="str">
        <f>+_xlfn.XLOOKUP(E484,Data_Cleaning!$B$6:$B$50,Data_Cleaning!$C$6:$C$50)</f>
        <v>Barcelona​</v>
      </c>
      <c r="G484" s="36" t="s">
        <v>753</v>
      </c>
      <c r="H484" s="24" t="str">
        <f>+_xlfn.XLOOKUP(G484,Data_Cleaning!$J$6:$J$11,Data_Cleaning!$K$6:$K$11)</f>
        <v>Science and Technology</v>
      </c>
      <c r="I484" s="12">
        <v>11050</v>
      </c>
      <c r="J484" s="12">
        <v>5000</v>
      </c>
      <c r="K484" s="12">
        <v>6323</v>
      </c>
      <c r="L484" s="12">
        <v>5000</v>
      </c>
    </row>
    <row r="485" spans="2:12" ht="15" customHeight="1">
      <c r="B485" s="10">
        <v>11002</v>
      </c>
      <c r="C485" s="22" t="s">
        <v>73</v>
      </c>
      <c r="D485" s="11" t="s">
        <v>16</v>
      </c>
      <c r="E485" s="25" t="s">
        <v>684</v>
      </c>
      <c r="F485" s="36" t="str">
        <f>+_xlfn.XLOOKUP(E485,Data_Cleaning!$B$6:$B$50,Data_Cleaning!$C$6:$C$50)</f>
        <v>Barcelona​</v>
      </c>
      <c r="G485" s="36" t="str" cm="1">
        <f t="array" ref="G485">_xlfn.XLOOKUP(TRUE,ISNUMBER(SEARCH(Data_Cleaning!$F$6:$F$36,C485)),Data_Cleaning!$G$6:$G$36,"Other",0)</f>
        <v>Sciences</v>
      </c>
      <c r="H485" s="24" t="str">
        <f>+_xlfn.XLOOKUP(G485,Data_Cleaning!$J$6:$J$11,Data_Cleaning!$K$6:$K$11)</f>
        <v>Science and Technology</v>
      </c>
      <c r="I485" s="12">
        <v>11060</v>
      </c>
      <c r="J485" s="12">
        <v>5563</v>
      </c>
      <c r="K485" s="12">
        <v>7130</v>
      </c>
      <c r="L485" s="12">
        <v>5000</v>
      </c>
    </row>
    <row r="486" spans="2:12" ht="15" customHeight="1">
      <c r="B486" s="10">
        <v>31123</v>
      </c>
      <c r="C486" s="22" t="s">
        <v>270</v>
      </c>
      <c r="D486" s="11" t="s">
        <v>58</v>
      </c>
      <c r="E486" s="25" t="s">
        <v>711</v>
      </c>
      <c r="F486" s="36" t="str">
        <f>+_xlfn.XLOOKUP(E486,Data_Cleaning!$B$6:$B$50,Data_Cleaning!$C$6:$C$50)</f>
        <v>Barcelona​</v>
      </c>
      <c r="G486" s="40" t="str" cm="1">
        <f t="array" ref="G486">_xlfn.XLOOKUP(TRUE,ISNUMBER(SEARCH(Data_Cleaning!$F$6:$F$36,C486)),Data_Cleaning!$G$6:$G$36,"Other",0)</f>
        <v>Engineering and Architecture</v>
      </c>
      <c r="H486" s="24" t="str">
        <f>+_xlfn.XLOOKUP(G486,Data_Cleaning!$J$6:$J$11,Data_Cleaning!$K$6:$K$11)</f>
        <v>Science and Technology</v>
      </c>
      <c r="I486" s="12">
        <v>11068</v>
      </c>
      <c r="J486" s="12">
        <v>5000</v>
      </c>
      <c r="K486" s="12">
        <v>5000</v>
      </c>
      <c r="L486" s="12">
        <v>5000</v>
      </c>
    </row>
    <row r="487" spans="2:12" ht="15" customHeight="1">
      <c r="B487" s="10">
        <v>91061</v>
      </c>
      <c r="C487" s="22" t="s">
        <v>517</v>
      </c>
      <c r="D487" s="11" t="s">
        <v>28</v>
      </c>
      <c r="E487" s="25" t="s">
        <v>724</v>
      </c>
      <c r="F487" s="36" t="str">
        <f>+_xlfn.XLOOKUP(E487,Data_Cleaning!$B$6:$B$50,Data_Cleaning!$C$6:$C$50)</f>
        <v>Barcelona​</v>
      </c>
      <c r="G487" s="40" t="s">
        <v>768</v>
      </c>
      <c r="H487" s="24" t="str">
        <f>+_xlfn.XLOOKUP(G487,Data_Cleaning!$J$6:$J$11,Data_Cleaning!$K$6:$K$11)</f>
        <v>Science and Technology</v>
      </c>
      <c r="I487" s="12">
        <v>11074</v>
      </c>
      <c r="J487" s="12">
        <v>5000</v>
      </c>
      <c r="K487" s="12">
        <v>8370</v>
      </c>
      <c r="L487" s="12">
        <v>5000</v>
      </c>
    </row>
    <row r="488" spans="2:12" ht="15" customHeight="1">
      <c r="B488" s="153">
        <v>31085</v>
      </c>
      <c r="C488" s="23" t="s">
        <v>591</v>
      </c>
      <c r="D488" s="155" t="s">
        <v>58</v>
      </c>
      <c r="E488" s="25" t="s">
        <v>711</v>
      </c>
      <c r="F488" s="36" t="str">
        <f>+_xlfn.XLOOKUP(E488,Data_Cleaning!$B$6:$B$50,Data_Cleaning!$C$6:$C$50)</f>
        <v>Barcelona​</v>
      </c>
      <c r="G488" s="40" t="str" cm="1">
        <f t="array" ref="G488">_xlfn.XLOOKUP(TRUE,ISNUMBER(SEARCH(Data_Cleaning!$F$6:$F$36,C488)),Data_Cleaning!$G$6:$G$36,"Other",0)</f>
        <v>Engineering and Architecture</v>
      </c>
      <c r="H488" s="24" t="str">
        <f>+_xlfn.XLOOKUP(G488,Data_Cleaning!$J$6:$J$11,Data_Cleaning!$K$6:$K$11)</f>
        <v>Science and Technology</v>
      </c>
      <c r="I488" s="156">
        <v>11084</v>
      </c>
      <c r="J488" s="156">
        <v>5000</v>
      </c>
      <c r="K488" s="156">
        <v>5000</v>
      </c>
      <c r="L488" s="156">
        <v>5000</v>
      </c>
    </row>
    <row r="489" spans="2:12" ht="15" customHeight="1">
      <c r="B489" s="10">
        <v>31115</v>
      </c>
      <c r="C489" s="23" t="s">
        <v>658</v>
      </c>
      <c r="D489" s="11" t="s">
        <v>58</v>
      </c>
      <c r="E489" s="25" t="s">
        <v>684</v>
      </c>
      <c r="F489" s="36" t="str">
        <f>+_xlfn.XLOOKUP(E489,Data_Cleaning!$B$6:$B$50,Data_Cleaning!$C$6:$C$50)</f>
        <v>Barcelona​</v>
      </c>
      <c r="G489" s="40" t="str" cm="1">
        <f t="array" ref="G489">_xlfn.XLOOKUP(TRUE,ISNUMBER(SEARCH(Data_Cleaning!$F$6:$F$36,C489)),Data_Cleaning!$G$6:$G$36,"Other",0)</f>
        <v>Engineering and Architecture</v>
      </c>
      <c r="H489" s="24" t="str">
        <f>+_xlfn.XLOOKUP(G489,Data_Cleaning!$J$6:$J$11,Data_Cleaning!$K$6:$K$11)</f>
        <v>Science and Technology</v>
      </c>
      <c r="I489" s="12">
        <v>11098</v>
      </c>
      <c r="J489" s="12">
        <v>5000</v>
      </c>
      <c r="K489" s="12">
        <v>5000</v>
      </c>
      <c r="L489" s="12">
        <v>5000</v>
      </c>
    </row>
    <row r="490" spans="2:12" ht="15" customHeight="1">
      <c r="B490" s="10">
        <v>21095</v>
      </c>
      <c r="C490" s="22" t="s">
        <v>393</v>
      </c>
      <c r="D490" s="11" t="s">
        <v>20</v>
      </c>
      <c r="E490" s="25" t="s">
        <v>685</v>
      </c>
      <c r="F490" s="36" t="str">
        <f>+_xlfn.XLOOKUP(E490,Data_Cleaning!$B$6:$B$50,Data_Cleaning!$C$6:$C$50)</f>
        <v>Barcelona​</v>
      </c>
      <c r="G490" s="40" t="str" cm="1">
        <f t="array" ref="G490">_xlfn.XLOOKUP(TRUE,ISNUMBER(SEARCH(Data_Cleaning!$F$6:$F$36,C490)),Data_Cleaning!$G$6:$G$36,"Other",0)</f>
        <v>Health Sciences</v>
      </c>
      <c r="H490" s="24" t="str">
        <f>+_xlfn.XLOOKUP(G490,Data_Cleaning!$J$6:$J$11,Data_Cleaning!$K$6:$K$11)</f>
        <v>Science and Technology</v>
      </c>
      <c r="I490" s="12">
        <v>11100</v>
      </c>
      <c r="J490" s="12">
        <v>6875</v>
      </c>
      <c r="K490" s="12">
        <v>8170</v>
      </c>
      <c r="L490" s="12">
        <v>5167</v>
      </c>
    </row>
    <row r="491" spans="2:12" ht="15" customHeight="1">
      <c r="B491" s="10">
        <v>71070</v>
      </c>
      <c r="C491" s="23" t="s">
        <v>636</v>
      </c>
      <c r="D491" s="11" t="s">
        <v>18</v>
      </c>
      <c r="E491" s="25" t="s">
        <v>696</v>
      </c>
      <c r="F491" s="36" t="str">
        <f>+_xlfn.XLOOKUP(E491,Data_Cleaning!$B$6:$B$50,Data_Cleaning!$C$6:$C$50)</f>
        <v>Tarragona​</v>
      </c>
      <c r="G491" s="40" t="str" cm="1">
        <f t="array" ref="G491">_xlfn.XLOOKUP(TRUE,ISNUMBER(SEARCH(Data_Cleaning!$F$6:$F$36,C491)),Data_Cleaning!$G$6:$G$36,"Other",0)</f>
        <v>Double Degree</v>
      </c>
      <c r="H491" s="24" t="s">
        <v>794</v>
      </c>
      <c r="I491" s="12">
        <v>11146</v>
      </c>
      <c r="J491" s="12">
        <v>5000</v>
      </c>
      <c r="K491" s="12">
        <v>5000</v>
      </c>
      <c r="L491" s="12">
        <v>5000</v>
      </c>
    </row>
    <row r="492" spans="2:12" ht="15" customHeight="1">
      <c r="B492" s="10">
        <v>41009</v>
      </c>
      <c r="C492" s="22" t="s">
        <v>127</v>
      </c>
      <c r="D492" s="11" t="s">
        <v>11</v>
      </c>
      <c r="E492" s="25" t="s">
        <v>684</v>
      </c>
      <c r="F492" s="36" t="str">
        <f>+_xlfn.XLOOKUP(E492,Data_Cleaning!$B$6:$B$50,Data_Cleaning!$C$6:$C$50)</f>
        <v>Barcelona​</v>
      </c>
      <c r="G492" s="40" t="str" cm="1">
        <f t="array" ref="G492">_xlfn.XLOOKUP(TRUE,ISNUMBER(SEARCH(Data_Cleaning!$F$6:$F$36,C492)),Data_Cleaning!$G$6:$G$36,"Other",0)</f>
        <v>Social Sciences and Law</v>
      </c>
      <c r="H492" s="24" t="str">
        <f>+_xlfn.XLOOKUP(G492,Data_Cleaning!$J$6:$J$11,Data_Cleaning!$K$6:$K$11)</f>
        <v>Social Sciences</v>
      </c>
      <c r="I492" s="12">
        <v>11158</v>
      </c>
      <c r="J492" s="12">
        <v>5000</v>
      </c>
      <c r="K492" s="12">
        <v>5000</v>
      </c>
      <c r="L492" s="12">
        <v>5000</v>
      </c>
    </row>
    <row r="493" spans="2:12" ht="15" customHeight="1">
      <c r="B493" s="10">
        <v>11019</v>
      </c>
      <c r="C493" s="22" t="s">
        <v>337</v>
      </c>
      <c r="D493" s="11" t="s">
        <v>16</v>
      </c>
      <c r="E493" s="25" t="s">
        <v>684</v>
      </c>
      <c r="F493" s="36" t="str">
        <f>+_xlfn.XLOOKUP(E493,Data_Cleaning!$B$6:$B$50,Data_Cleaning!$C$6:$C$50)</f>
        <v>Barcelona​</v>
      </c>
      <c r="G493" s="40" t="str" cm="1">
        <f t="array" ref="G493">_xlfn.XLOOKUP(TRUE,ISNUMBER(SEARCH(Data_Cleaning!$F$6:$F$36,C493)),Data_Cleaning!$G$6:$G$36,"Other",0)</f>
        <v>Engineering and Architecture</v>
      </c>
      <c r="H493" s="24" t="str">
        <f>+_xlfn.XLOOKUP(G493,Data_Cleaning!$J$6:$J$11,Data_Cleaning!$K$6:$K$11)</f>
        <v>Science and Technology</v>
      </c>
      <c r="I493" s="12">
        <v>11158</v>
      </c>
      <c r="J493" s="12">
        <v>5000</v>
      </c>
      <c r="K493" s="12">
        <v>5000</v>
      </c>
      <c r="L493" s="12">
        <v>6500</v>
      </c>
    </row>
    <row r="494" spans="2:12" ht="15" customHeight="1">
      <c r="B494" s="10">
        <v>71016</v>
      </c>
      <c r="C494" s="22" t="s">
        <v>454</v>
      </c>
      <c r="D494" s="11" t="s">
        <v>18</v>
      </c>
      <c r="E494" s="25" t="s">
        <v>696</v>
      </c>
      <c r="F494" s="36" t="str">
        <f>+_xlfn.XLOOKUP(E494,Data_Cleaning!$B$6:$B$50,Data_Cleaning!$C$6:$C$50)</f>
        <v>Tarragona​</v>
      </c>
      <c r="G494" s="40" t="str" cm="1">
        <f t="array" ref="G494">_xlfn.XLOOKUP(TRUE,ISNUMBER(SEARCH(Data_Cleaning!$F$6:$F$36,C494)),Data_Cleaning!$G$6:$G$36,"Other",0)</f>
        <v>Health Sciences</v>
      </c>
      <c r="H494" s="24" t="str">
        <f>+_xlfn.XLOOKUP(G494,Data_Cleaning!$J$6:$J$11,Data_Cleaning!$K$6:$K$11)</f>
        <v>Science and Technology</v>
      </c>
      <c r="I494" s="12">
        <v>11194</v>
      </c>
      <c r="J494" s="12">
        <v>6250</v>
      </c>
      <c r="K494" s="12">
        <v>8714</v>
      </c>
      <c r="L494" s="12">
        <v>7167</v>
      </c>
    </row>
    <row r="495" spans="2:12" ht="15" customHeight="1">
      <c r="B495" s="10">
        <v>11024</v>
      </c>
      <c r="C495" s="22" t="s">
        <v>369</v>
      </c>
      <c r="D495" s="11" t="s">
        <v>16</v>
      </c>
      <c r="E495" s="25" t="s">
        <v>684</v>
      </c>
      <c r="F495" s="36" t="str">
        <f>+_xlfn.XLOOKUP(E495,Data_Cleaning!$B$6:$B$50,Data_Cleaning!$C$6:$C$50)</f>
        <v>Barcelona​</v>
      </c>
      <c r="G495" s="40" t="str" cm="1">
        <f t="array" ref="G495">_xlfn.XLOOKUP(TRUE,ISNUMBER(SEARCH(Data_Cleaning!$F$6:$F$36,C495)),Data_Cleaning!$G$6:$G$36,"Other",0)</f>
        <v>Health Sciences</v>
      </c>
      <c r="H495" s="24" t="str">
        <f>+_xlfn.XLOOKUP(G495,Data_Cleaning!$J$6:$J$11,Data_Cleaning!$K$6:$K$11)</f>
        <v>Science and Technology</v>
      </c>
      <c r="I495" s="12">
        <v>11202</v>
      </c>
      <c r="J495" s="12">
        <v>5000</v>
      </c>
      <c r="K495" s="12">
        <v>7200</v>
      </c>
      <c r="L495" s="12">
        <v>5000</v>
      </c>
    </row>
    <row r="496" spans="2:12" ht="15" customHeight="1">
      <c r="B496" s="10">
        <v>21011</v>
      </c>
      <c r="C496" s="22" t="s">
        <v>82</v>
      </c>
      <c r="D496" s="11" t="s">
        <v>20</v>
      </c>
      <c r="E496" s="25" t="s">
        <v>685</v>
      </c>
      <c r="F496" s="36" t="str">
        <f>+_xlfn.XLOOKUP(E496,Data_Cleaning!$B$6:$B$50,Data_Cleaning!$C$6:$C$50)</f>
        <v>Barcelona​</v>
      </c>
      <c r="G496" s="36" t="str" cm="1">
        <f t="array" ref="G496">_xlfn.XLOOKUP(TRUE,ISNUMBER(SEARCH(Data_Cleaning!$F$6:$F$36,C496)),Data_Cleaning!$G$6:$G$36,"Other",0)</f>
        <v>Sciences</v>
      </c>
      <c r="H496" s="24" t="str">
        <f>+_xlfn.XLOOKUP(G496,Data_Cleaning!$J$6:$J$11,Data_Cleaning!$K$6:$K$11)</f>
        <v>Science and Technology</v>
      </c>
      <c r="I496" s="12">
        <v>11236</v>
      </c>
      <c r="J496" s="12">
        <v>5000</v>
      </c>
      <c r="K496" s="12">
        <v>5000</v>
      </c>
      <c r="L496" s="12">
        <v>5000</v>
      </c>
    </row>
    <row r="497" spans="2:12" ht="15" customHeight="1">
      <c r="B497" s="10">
        <v>21104</v>
      </c>
      <c r="C497" s="22" t="s">
        <v>99</v>
      </c>
      <c r="D497" s="11" t="s">
        <v>20</v>
      </c>
      <c r="E497" s="25" t="s">
        <v>685</v>
      </c>
      <c r="F497" s="36" t="str">
        <f>+_xlfn.XLOOKUP(E497,Data_Cleaning!$B$6:$B$50,Data_Cleaning!$C$6:$C$50)</f>
        <v>Barcelona​</v>
      </c>
      <c r="G497" s="36" t="str" cm="1">
        <f t="array" ref="G497">_xlfn.XLOOKUP(TRUE,ISNUMBER(SEARCH(Data_Cleaning!$F$6:$F$36,C497)),Data_Cleaning!$G$6:$G$36,"Other",0)</f>
        <v>Double Degree</v>
      </c>
      <c r="H497" s="24" t="s">
        <v>795</v>
      </c>
      <c r="I497" s="12">
        <v>11240</v>
      </c>
      <c r="J497" s="12">
        <v>5000</v>
      </c>
      <c r="K497" s="12">
        <v>5000</v>
      </c>
      <c r="L497" s="12">
        <v>5000</v>
      </c>
    </row>
    <row r="498" spans="2:12" ht="15" customHeight="1">
      <c r="B498" s="10">
        <v>31111</v>
      </c>
      <c r="C498" s="23" t="s">
        <v>593</v>
      </c>
      <c r="D498" s="11" t="s">
        <v>58</v>
      </c>
      <c r="E498" s="25" t="s">
        <v>684</v>
      </c>
      <c r="F498" s="36" t="str">
        <f>+_xlfn.XLOOKUP(E498,Data_Cleaning!$B$6:$B$50,Data_Cleaning!$C$6:$C$50)</f>
        <v>Barcelona​</v>
      </c>
      <c r="G498" s="36" t="str" cm="1">
        <f t="array" ref="G498">_xlfn.XLOOKUP(TRUE,ISNUMBER(SEARCH(Data_Cleaning!$F$6:$F$36,C498)),Data_Cleaning!$G$6:$G$36,"Other",0)</f>
        <v>Engineering and Architecture</v>
      </c>
      <c r="H498" s="24" t="str">
        <f>+_xlfn.XLOOKUP(G498,Data_Cleaning!$J$6:$J$11,Data_Cleaning!$K$6:$K$11)</f>
        <v>Science and Technology</v>
      </c>
      <c r="I498" s="12">
        <v>11260</v>
      </c>
      <c r="J498" s="12">
        <v>5000</v>
      </c>
      <c r="K498" s="12">
        <v>6000</v>
      </c>
      <c r="L498" s="12">
        <v>5000</v>
      </c>
    </row>
    <row r="499" spans="2:12" ht="15" customHeight="1">
      <c r="B499" s="10">
        <v>11097</v>
      </c>
      <c r="C499" s="22" t="s">
        <v>136</v>
      </c>
      <c r="D499" s="11" t="s">
        <v>16</v>
      </c>
      <c r="E499" s="25" t="s">
        <v>684</v>
      </c>
      <c r="F499" s="36" t="str">
        <f>+_xlfn.XLOOKUP(E499,Data_Cleaning!$B$6:$B$50,Data_Cleaning!$C$6:$C$50)</f>
        <v>Barcelona​</v>
      </c>
      <c r="G499" s="36" t="str" cm="1">
        <f t="array" ref="G499">_xlfn.XLOOKUP(TRUE,ISNUMBER(SEARCH(Data_Cleaning!$F$6:$F$36,C499)),Data_Cleaning!$G$6:$G$36,"Other",0)</f>
        <v>Social Sciences and Law</v>
      </c>
      <c r="H499" s="24" t="str">
        <f>+_xlfn.XLOOKUP(G499,Data_Cleaning!$J$6:$J$11,Data_Cleaning!$K$6:$K$11)</f>
        <v>Social Sciences</v>
      </c>
      <c r="I499" s="12">
        <v>11286</v>
      </c>
      <c r="J499" s="12">
        <v>5188</v>
      </c>
      <c r="K499" s="12">
        <v>5000</v>
      </c>
      <c r="L499" s="12">
        <v>6167</v>
      </c>
    </row>
    <row r="500" spans="2:12" ht="15" customHeight="1">
      <c r="B500" s="10">
        <v>21035</v>
      </c>
      <c r="C500" s="22" t="s">
        <v>407</v>
      </c>
      <c r="D500" s="11" t="s">
        <v>20</v>
      </c>
      <c r="E500" s="25" t="s">
        <v>685</v>
      </c>
      <c r="F500" s="36" t="str">
        <f>+_xlfn.XLOOKUP(E500,Data_Cleaning!$B$6:$B$50,Data_Cleaning!$C$6:$C$50)</f>
        <v>Barcelona​</v>
      </c>
      <c r="G500" s="40" t="s">
        <v>768</v>
      </c>
      <c r="H500" s="24" t="str">
        <f>+_xlfn.XLOOKUP(G500,Data_Cleaning!$J$6:$J$11,Data_Cleaning!$K$6:$K$11)</f>
        <v>Science and Technology</v>
      </c>
      <c r="I500" s="12">
        <v>11306</v>
      </c>
      <c r="J500" s="12">
        <v>5000</v>
      </c>
      <c r="K500" s="12">
        <v>6830</v>
      </c>
      <c r="L500" s="12">
        <v>5000</v>
      </c>
    </row>
    <row r="501" spans="2:12" ht="15" customHeight="1">
      <c r="B501" s="10">
        <v>61040</v>
      </c>
      <c r="C501" s="22" t="s">
        <v>94</v>
      </c>
      <c r="D501" s="11" t="s">
        <v>25</v>
      </c>
      <c r="E501" s="25" t="s">
        <v>688</v>
      </c>
      <c r="F501" s="36" t="str">
        <f>+_xlfn.XLOOKUP(E501,Data_Cleaning!$B$6:$B$50,Data_Cleaning!$C$6:$C$50)</f>
        <v>Lleida​</v>
      </c>
      <c r="G501" s="40" t="str" cm="1">
        <f t="array" ref="G501">_xlfn.XLOOKUP(TRUE,ISNUMBER(SEARCH(Data_Cleaning!$F$6:$F$36,C501)),Data_Cleaning!$G$6:$G$36,"Other",0)</f>
        <v>Double Degree</v>
      </c>
      <c r="H501" s="24" t="s">
        <v>794</v>
      </c>
      <c r="I501" s="12">
        <v>11329</v>
      </c>
      <c r="J501" s="12">
        <v>7000</v>
      </c>
      <c r="K501" s="12">
        <v>7800</v>
      </c>
      <c r="L501" s="12">
        <v>5000</v>
      </c>
    </row>
    <row r="502" spans="2:12" ht="15" customHeight="1">
      <c r="B502" s="10">
        <v>11073</v>
      </c>
      <c r="C502" s="22" t="s">
        <v>237</v>
      </c>
      <c r="D502" s="11" t="s">
        <v>16</v>
      </c>
      <c r="E502" s="25" t="s">
        <v>684</v>
      </c>
      <c r="F502" s="36" t="str">
        <f>+_xlfn.XLOOKUP(E502,Data_Cleaning!$B$6:$B$50,Data_Cleaning!$C$6:$C$50)</f>
        <v>Barcelona​</v>
      </c>
      <c r="G502" s="40" t="str" cm="1">
        <f t="array" ref="G502">_xlfn.XLOOKUP(TRUE,ISNUMBER(SEARCH(Data_Cleaning!$F$6:$F$36,C502)),Data_Cleaning!$G$6:$G$36,"Other",0)</f>
        <v>Social Sciences and Law</v>
      </c>
      <c r="H502" s="24" t="str">
        <f>+_xlfn.XLOOKUP(G502,Data_Cleaning!$J$6:$J$11,Data_Cleaning!$K$6:$K$11)</f>
        <v>Social Sciences</v>
      </c>
      <c r="I502" s="12">
        <v>11358</v>
      </c>
      <c r="J502" s="12">
        <v>5250</v>
      </c>
      <c r="K502" s="12">
        <v>5000</v>
      </c>
      <c r="L502" s="12">
        <v>5000</v>
      </c>
    </row>
    <row r="503" spans="2:12" ht="15" customHeight="1">
      <c r="B503" s="10">
        <v>21167</v>
      </c>
      <c r="C503" s="23" t="s">
        <v>621</v>
      </c>
      <c r="D503" s="11" t="s">
        <v>20</v>
      </c>
      <c r="E503" s="25" t="s">
        <v>685</v>
      </c>
      <c r="F503" s="36" t="str">
        <f>+_xlfn.XLOOKUP(E503,Data_Cleaning!$B$6:$B$50,Data_Cleaning!$C$6:$C$50)</f>
        <v>Barcelona​</v>
      </c>
      <c r="G503" s="40" t="str" cm="1">
        <f t="array" ref="G503">_xlfn.XLOOKUP(TRUE,ISNUMBER(SEARCH(Data_Cleaning!$F$6:$F$36,C503)),Data_Cleaning!$G$6:$G$36,"Other",0)</f>
        <v>Double Degree</v>
      </c>
      <c r="H503" s="24" t="s">
        <v>795</v>
      </c>
      <c r="I503" s="12">
        <v>11402</v>
      </c>
      <c r="J503" s="12">
        <v>7563</v>
      </c>
      <c r="K503" s="12">
        <v>6730</v>
      </c>
      <c r="L503" s="12">
        <v>5000</v>
      </c>
    </row>
    <row r="504" spans="2:12" ht="15" customHeight="1">
      <c r="B504" s="10">
        <v>31084</v>
      </c>
      <c r="C504" s="22" t="s">
        <v>271</v>
      </c>
      <c r="D504" s="11" t="s">
        <v>58</v>
      </c>
      <c r="E504" s="25" t="s">
        <v>711</v>
      </c>
      <c r="F504" s="36" t="str">
        <f>+_xlfn.XLOOKUP(E504,Data_Cleaning!$B$6:$B$50,Data_Cleaning!$C$6:$C$50)</f>
        <v>Barcelona​</v>
      </c>
      <c r="G504" s="40" t="str" cm="1">
        <f t="array" ref="G504">_xlfn.XLOOKUP(TRUE,ISNUMBER(SEARCH(Data_Cleaning!$F$6:$F$36,C504)),Data_Cleaning!$G$6:$G$36,"Other",0)</f>
        <v>Engineering and Architecture</v>
      </c>
      <c r="H504" s="24" t="str">
        <f>+_xlfn.XLOOKUP(G504,Data_Cleaning!$J$6:$J$11,Data_Cleaning!$K$6:$K$11)</f>
        <v>Science and Technology</v>
      </c>
      <c r="I504" s="12">
        <v>11410</v>
      </c>
      <c r="J504" s="12">
        <v>5000</v>
      </c>
      <c r="K504" s="12">
        <v>5000</v>
      </c>
      <c r="L504" s="12">
        <v>5000</v>
      </c>
    </row>
    <row r="505" spans="2:12" ht="15" customHeight="1">
      <c r="B505" s="10">
        <v>41004</v>
      </c>
      <c r="C505" s="22" t="s">
        <v>540</v>
      </c>
      <c r="D505" s="11" t="s">
        <v>11</v>
      </c>
      <c r="E505" s="25" t="s">
        <v>684</v>
      </c>
      <c r="F505" s="36" t="str">
        <f>+_xlfn.XLOOKUP(E505,Data_Cleaning!$B$6:$B$50,Data_Cleaning!$C$6:$C$50)</f>
        <v>Barcelona​</v>
      </c>
      <c r="G505" s="40" t="str" cm="1">
        <f t="array" ref="G505">_xlfn.XLOOKUP(TRUE,ISNUMBER(SEARCH(Data_Cleaning!$F$6:$F$36,C505)),Data_Cleaning!$G$6:$G$36,"Other",0)</f>
        <v>Social Sciences and Law</v>
      </c>
      <c r="H505" s="24" t="str">
        <f>+_xlfn.XLOOKUP(G505,Data_Cleaning!$J$6:$J$11,Data_Cleaning!$K$6:$K$11)</f>
        <v>Social Sciences</v>
      </c>
      <c r="I505" s="12">
        <v>11430</v>
      </c>
      <c r="J505" s="12">
        <v>5000</v>
      </c>
      <c r="K505" s="12">
        <v>5000</v>
      </c>
      <c r="L505" s="12">
        <v>5667</v>
      </c>
    </row>
    <row r="506" spans="2:12" ht="15" customHeight="1">
      <c r="B506" s="10">
        <v>21122</v>
      </c>
      <c r="C506" s="22" t="s">
        <v>488</v>
      </c>
      <c r="D506" s="11" t="s">
        <v>20</v>
      </c>
      <c r="E506" s="25" t="s">
        <v>685</v>
      </c>
      <c r="F506" s="36" t="str">
        <f>+_xlfn.XLOOKUP(E506,Data_Cleaning!$B$6:$B$50,Data_Cleaning!$C$6:$C$50)</f>
        <v>Barcelona​</v>
      </c>
      <c r="G506" s="40" t="s">
        <v>756</v>
      </c>
      <c r="H506" s="24" t="str">
        <f>+_xlfn.XLOOKUP(G506,Data_Cleaning!$J$6:$J$11,Data_Cleaning!$K$6:$K$11)</f>
        <v>Science and Technology</v>
      </c>
      <c r="I506" s="12">
        <v>11442</v>
      </c>
      <c r="J506" s="12">
        <v>5000</v>
      </c>
      <c r="K506" s="12">
        <v>7830</v>
      </c>
      <c r="L506" s="12">
        <v>5000</v>
      </c>
    </row>
    <row r="507" spans="2:12" ht="15" customHeight="1">
      <c r="B507" s="10">
        <v>81047</v>
      </c>
      <c r="C507" s="22" t="s">
        <v>77</v>
      </c>
      <c r="D507" s="11" t="s">
        <v>23</v>
      </c>
      <c r="E507" s="25" t="s">
        <v>686</v>
      </c>
      <c r="F507" s="36" t="str">
        <f>+_xlfn.XLOOKUP(E507,Data_Cleaning!$B$6:$B$50,Data_Cleaning!$C$6:$C$50)</f>
        <v>Girona​</v>
      </c>
      <c r="G507" s="40" t="str" cm="1">
        <f t="array" ref="G507">_xlfn.XLOOKUP(TRUE,ISNUMBER(SEARCH(Data_Cleaning!$F$6:$F$36,C507)),Data_Cleaning!$G$6:$G$36,"Other",0)</f>
        <v>Double Degree</v>
      </c>
      <c r="H507" s="24" t="s">
        <v>794</v>
      </c>
      <c r="I507" s="12">
        <v>11458</v>
      </c>
      <c r="J507" s="12">
        <v>5000</v>
      </c>
      <c r="K507" s="12">
        <v>5000</v>
      </c>
      <c r="L507" s="12">
        <v>5000</v>
      </c>
    </row>
    <row r="508" spans="2:12" ht="15" customHeight="1">
      <c r="B508" s="10">
        <v>11065</v>
      </c>
      <c r="C508" s="22" t="s">
        <v>131</v>
      </c>
      <c r="D508" s="11" t="s">
        <v>16</v>
      </c>
      <c r="E508" s="25" t="s">
        <v>684</v>
      </c>
      <c r="F508" s="36" t="str">
        <f>+_xlfn.XLOOKUP(E508,Data_Cleaning!$B$6:$B$50,Data_Cleaning!$C$6:$C$50)</f>
        <v>Barcelona​</v>
      </c>
      <c r="G508" s="40" t="str" cm="1">
        <f t="array" ref="G508">_xlfn.XLOOKUP(TRUE,ISNUMBER(SEARCH(Data_Cleaning!$F$6:$F$36,C508)),Data_Cleaning!$G$6:$G$36,"Other",0)</f>
        <v>Double Degree</v>
      </c>
      <c r="H508" s="24" t="s">
        <v>795</v>
      </c>
      <c r="I508" s="12">
        <v>11475</v>
      </c>
      <c r="J508" s="12">
        <v>7250</v>
      </c>
      <c r="K508" s="12">
        <v>6510</v>
      </c>
      <c r="L508" s="12">
        <v>5333</v>
      </c>
    </row>
    <row r="509" spans="2:12" ht="15" customHeight="1">
      <c r="B509" s="10">
        <v>31113</v>
      </c>
      <c r="C509" s="23" t="s">
        <v>637</v>
      </c>
      <c r="D509" s="11" t="s">
        <v>58</v>
      </c>
      <c r="E509" s="25" t="s">
        <v>684</v>
      </c>
      <c r="F509" s="36" t="str">
        <f>+_xlfn.XLOOKUP(E509,Data_Cleaning!$B$6:$B$50,Data_Cleaning!$C$6:$C$50)</f>
        <v>Barcelona​</v>
      </c>
      <c r="G509" s="40" t="str" cm="1">
        <f t="array" ref="G509">_xlfn.XLOOKUP(TRUE,ISNUMBER(SEARCH(Data_Cleaning!$F$6:$F$36,C509)),Data_Cleaning!$G$6:$G$36,"Other",0)</f>
        <v>Engineering and Architecture</v>
      </c>
      <c r="H509" s="24" t="str">
        <f>+_xlfn.XLOOKUP(G509,Data_Cleaning!$J$6:$J$11,Data_Cleaning!$K$6:$K$11)</f>
        <v>Science and Technology</v>
      </c>
      <c r="I509" s="12">
        <v>11498</v>
      </c>
      <c r="J509" s="12">
        <v>5000</v>
      </c>
      <c r="K509" s="12">
        <v>5000</v>
      </c>
      <c r="L509" s="12">
        <v>5000</v>
      </c>
    </row>
    <row r="510" spans="2:12" ht="15" customHeight="1">
      <c r="B510" s="10">
        <v>21012</v>
      </c>
      <c r="C510" s="22" t="s">
        <v>86</v>
      </c>
      <c r="D510" s="11" t="s">
        <v>20</v>
      </c>
      <c r="E510" s="25" t="s">
        <v>685</v>
      </c>
      <c r="F510" s="36" t="str">
        <f>+_xlfn.XLOOKUP(E510,Data_Cleaning!$B$6:$B$50,Data_Cleaning!$C$6:$C$50)</f>
        <v>Barcelona​</v>
      </c>
      <c r="G510" s="36" t="s">
        <v>768</v>
      </c>
      <c r="H510" s="24" t="str">
        <f>+_xlfn.XLOOKUP(G510,Data_Cleaning!$J$6:$J$11,Data_Cleaning!$K$6:$K$11)</f>
        <v>Science and Technology</v>
      </c>
      <c r="I510" s="12">
        <v>11506</v>
      </c>
      <c r="J510" s="12">
        <v>5000</v>
      </c>
      <c r="K510" s="12">
        <v>5000</v>
      </c>
      <c r="L510" s="12">
        <v>5000</v>
      </c>
    </row>
    <row r="511" spans="2:12" ht="15" customHeight="1">
      <c r="B511" s="10">
        <v>61044</v>
      </c>
      <c r="C511" s="22" t="s">
        <v>405</v>
      </c>
      <c r="D511" s="11" t="s">
        <v>25</v>
      </c>
      <c r="E511" s="25" t="s">
        <v>688</v>
      </c>
      <c r="F511" s="36" t="str">
        <f>+_xlfn.XLOOKUP(E511,Data_Cleaning!$B$6:$B$50,Data_Cleaning!$C$6:$C$50)</f>
        <v>Lleida​</v>
      </c>
      <c r="G511" s="36" t="str" cm="1">
        <f t="array" ref="G511">_xlfn.XLOOKUP(TRUE,ISNUMBER(SEARCH(Data_Cleaning!$F$6:$F$36,C511)),Data_Cleaning!$G$6:$G$36,"Other",0)</f>
        <v>Double Degree</v>
      </c>
      <c r="H511" s="24" t="s">
        <v>794</v>
      </c>
      <c r="I511" s="12">
        <v>11569</v>
      </c>
      <c r="J511" s="12">
        <v>5438</v>
      </c>
      <c r="K511" s="12">
        <v>8050</v>
      </c>
      <c r="L511" s="12">
        <v>5833</v>
      </c>
    </row>
    <row r="512" spans="2:12" ht="15" customHeight="1">
      <c r="B512" s="10">
        <v>21123</v>
      </c>
      <c r="C512" s="22" t="s">
        <v>551</v>
      </c>
      <c r="D512" s="11" t="s">
        <v>20</v>
      </c>
      <c r="E512" s="25" t="s">
        <v>685</v>
      </c>
      <c r="F512" s="36" t="str">
        <f>+_xlfn.XLOOKUP(E512,Data_Cleaning!$B$6:$B$50,Data_Cleaning!$C$6:$C$50)</f>
        <v>Barcelona​</v>
      </c>
      <c r="G512" s="36" t="s">
        <v>762</v>
      </c>
      <c r="H512" s="24" t="str">
        <f>+_xlfn.XLOOKUP(G512,Data_Cleaning!$J$6:$J$11,Data_Cleaning!$K$6:$K$11)</f>
        <v>Social Sciences</v>
      </c>
      <c r="I512" s="12">
        <v>11570</v>
      </c>
      <c r="J512" s="12">
        <v>5000</v>
      </c>
      <c r="K512" s="12">
        <v>5000</v>
      </c>
      <c r="L512" s="12">
        <v>5000</v>
      </c>
    </row>
    <row r="513" spans="2:12" ht="15" customHeight="1">
      <c r="B513" s="10">
        <v>61004</v>
      </c>
      <c r="C513" s="22" t="s">
        <v>110</v>
      </c>
      <c r="D513" s="11" t="s">
        <v>25</v>
      </c>
      <c r="E513" s="25" t="s">
        <v>688</v>
      </c>
      <c r="F513" s="36" t="str">
        <f>+_xlfn.XLOOKUP(E513,Data_Cleaning!$B$6:$B$50,Data_Cleaning!$C$6:$C$50)</f>
        <v>Lleida​</v>
      </c>
      <c r="G513" s="36" t="s">
        <v>768</v>
      </c>
      <c r="H513" s="24" t="str">
        <f>+_xlfn.XLOOKUP(G513,Data_Cleaning!$J$6:$J$11,Data_Cleaning!$K$6:$K$11)</f>
        <v>Science and Technology</v>
      </c>
      <c r="I513" s="12">
        <v>11580</v>
      </c>
      <c r="J513" s="12">
        <v>5000</v>
      </c>
      <c r="K513" s="12">
        <v>6340</v>
      </c>
      <c r="L513" s="12">
        <v>5000</v>
      </c>
    </row>
    <row r="514" spans="2:12" ht="15" customHeight="1">
      <c r="B514" s="10">
        <v>61039</v>
      </c>
      <c r="C514" s="22" t="s">
        <v>121</v>
      </c>
      <c r="D514" s="11" t="s">
        <v>25</v>
      </c>
      <c r="E514" s="25" t="s">
        <v>688</v>
      </c>
      <c r="F514" s="36" t="str">
        <f>+_xlfn.XLOOKUP(E514,Data_Cleaning!$B$6:$B$50,Data_Cleaning!$C$6:$C$50)</f>
        <v>Lleida​</v>
      </c>
      <c r="G514" s="36" t="str" cm="1">
        <f t="array" ref="G514">_xlfn.XLOOKUP(TRUE,ISNUMBER(SEARCH(Data_Cleaning!$F$6:$F$36,C514)),Data_Cleaning!$G$6:$G$36,"Other",0)</f>
        <v>Double Degree</v>
      </c>
      <c r="H514" s="24" t="s">
        <v>794</v>
      </c>
      <c r="I514" s="12">
        <v>11596</v>
      </c>
      <c r="J514" s="12">
        <v>5000</v>
      </c>
      <c r="K514" s="12">
        <v>8020</v>
      </c>
      <c r="L514" s="12">
        <v>5000</v>
      </c>
    </row>
    <row r="515" spans="2:12" ht="15" customHeight="1">
      <c r="B515" s="10">
        <v>11003</v>
      </c>
      <c r="C515" s="22" t="s">
        <v>81</v>
      </c>
      <c r="D515" s="11" t="s">
        <v>16</v>
      </c>
      <c r="E515" s="25" t="s">
        <v>684</v>
      </c>
      <c r="F515" s="36" t="str">
        <f>+_xlfn.XLOOKUP(E515,Data_Cleaning!$B$6:$B$50,Data_Cleaning!$C$6:$C$50)</f>
        <v>Barcelona​</v>
      </c>
      <c r="G515" s="36" t="str" cm="1">
        <f t="array" ref="G515">_xlfn.XLOOKUP(TRUE,ISNUMBER(SEARCH(Data_Cleaning!$F$6:$F$36,C515)),Data_Cleaning!$G$6:$G$36,"Other",0)</f>
        <v>Sciences</v>
      </c>
      <c r="H515" s="24" t="str">
        <f>+_xlfn.XLOOKUP(G515,Data_Cleaning!$J$6:$J$11,Data_Cleaning!$K$6:$K$11)</f>
        <v>Science and Technology</v>
      </c>
      <c r="I515" s="12">
        <v>11621</v>
      </c>
      <c r="J515" s="12">
        <v>5000</v>
      </c>
      <c r="K515" s="12">
        <v>5000</v>
      </c>
      <c r="L515" s="12">
        <v>5000</v>
      </c>
    </row>
    <row r="516" spans="2:12" ht="15" customHeight="1">
      <c r="B516" s="10">
        <v>41002</v>
      </c>
      <c r="C516" s="22" t="s">
        <v>136</v>
      </c>
      <c r="D516" s="11" t="s">
        <v>11</v>
      </c>
      <c r="E516" s="25" t="s">
        <v>684</v>
      </c>
      <c r="F516" s="36" t="str">
        <f>+_xlfn.XLOOKUP(E516,Data_Cleaning!$B$6:$B$50,Data_Cleaning!$C$6:$C$50)</f>
        <v>Barcelona​</v>
      </c>
      <c r="G516" s="36" t="str" cm="1">
        <f t="array" ref="G516">_xlfn.XLOOKUP(TRUE,ISNUMBER(SEARCH(Data_Cleaning!$F$6:$F$36,C516)),Data_Cleaning!$G$6:$G$36,"Other",0)</f>
        <v>Social Sciences and Law</v>
      </c>
      <c r="H516" s="24" t="str">
        <f>+_xlfn.XLOOKUP(G516,Data_Cleaning!$J$6:$J$11,Data_Cleaning!$K$6:$K$11)</f>
        <v>Social Sciences</v>
      </c>
      <c r="I516" s="12">
        <v>11659</v>
      </c>
      <c r="J516" s="12">
        <v>6625</v>
      </c>
      <c r="K516" s="12">
        <v>5000</v>
      </c>
      <c r="L516" s="12">
        <v>5000</v>
      </c>
    </row>
    <row r="517" spans="2:12" ht="15" customHeight="1">
      <c r="B517" s="10">
        <v>41065</v>
      </c>
      <c r="C517" s="22" t="s">
        <v>359</v>
      </c>
      <c r="D517" s="11" t="s">
        <v>11</v>
      </c>
      <c r="E517" s="25" t="s">
        <v>684</v>
      </c>
      <c r="F517" s="36" t="str">
        <f>+_xlfn.XLOOKUP(E517,Data_Cleaning!$B$6:$B$50,Data_Cleaning!$C$6:$C$50)</f>
        <v>Barcelona​</v>
      </c>
      <c r="G517" s="36" t="s">
        <v>775</v>
      </c>
      <c r="H517" s="24" t="str">
        <f>+_xlfn.XLOOKUP(G517,Data_Cleaning!$J$6:$J$11,Data_Cleaning!$K$6:$K$11)</f>
        <v>Arts and Humanities</v>
      </c>
      <c r="I517" s="12">
        <v>11724</v>
      </c>
      <c r="J517" s="12">
        <v>5000</v>
      </c>
      <c r="K517" s="12">
        <v>5000</v>
      </c>
      <c r="L517" s="12">
        <v>5000</v>
      </c>
    </row>
    <row r="518" spans="2:12" ht="15" customHeight="1">
      <c r="B518" s="10">
        <v>11081</v>
      </c>
      <c r="C518" s="22" t="s">
        <v>441</v>
      </c>
      <c r="D518" s="11" t="s">
        <v>16</v>
      </c>
      <c r="E518" s="25" t="s">
        <v>684</v>
      </c>
      <c r="F518" s="36" t="str">
        <f>+_xlfn.XLOOKUP(E518,Data_Cleaning!$B$6:$B$50,Data_Cleaning!$C$6:$C$50)</f>
        <v>Barcelona​</v>
      </c>
      <c r="G518" s="36" t="str" cm="1">
        <f t="array" ref="G518">_xlfn.XLOOKUP(TRUE,ISNUMBER(SEARCH(Data_Cleaning!$F$6:$F$36,C518)),Data_Cleaning!$G$6:$G$36,"Other",0)</f>
        <v>Health Sciences</v>
      </c>
      <c r="H518" s="24" t="str">
        <f>+_xlfn.XLOOKUP(G518,Data_Cleaning!$J$6:$J$11,Data_Cleaning!$K$6:$K$11)</f>
        <v>Science and Technology</v>
      </c>
      <c r="I518" s="12">
        <v>11746</v>
      </c>
      <c r="J518" s="12">
        <v>7313</v>
      </c>
      <c r="K518" s="12">
        <v>8750</v>
      </c>
      <c r="L518" s="12">
        <v>5500</v>
      </c>
    </row>
    <row r="519" spans="2:12" ht="15" customHeight="1">
      <c r="B519" s="10">
        <v>31116</v>
      </c>
      <c r="C519" s="23" t="s">
        <v>659</v>
      </c>
      <c r="D519" s="11" t="s">
        <v>58</v>
      </c>
      <c r="E519" s="25" t="s">
        <v>684</v>
      </c>
      <c r="F519" s="36" t="str">
        <f>+_xlfn.XLOOKUP(E519,Data_Cleaning!$B$6:$B$50,Data_Cleaning!$C$6:$C$50)</f>
        <v>Barcelona​</v>
      </c>
      <c r="G519" s="36" t="str" cm="1">
        <f t="array" ref="G519">_xlfn.XLOOKUP(TRUE,ISNUMBER(SEARCH(Data_Cleaning!$F$6:$F$36,C519)),Data_Cleaning!$G$6:$G$36,"Other",0)</f>
        <v>Engineering and Architecture</v>
      </c>
      <c r="H519" s="24" t="str">
        <f>+_xlfn.XLOOKUP(G519,Data_Cleaning!$J$6:$J$11,Data_Cleaning!$K$6:$K$11)</f>
        <v>Science and Technology</v>
      </c>
      <c r="I519" s="12">
        <v>11804</v>
      </c>
      <c r="J519" s="12">
        <v>7625</v>
      </c>
      <c r="K519" s="12">
        <v>7000</v>
      </c>
      <c r="L519" s="12">
        <v>5000</v>
      </c>
    </row>
    <row r="520" spans="2:12" ht="15" customHeight="1">
      <c r="B520" s="10">
        <v>11030</v>
      </c>
      <c r="C520" s="22" t="s">
        <v>388</v>
      </c>
      <c r="D520" s="11" t="s">
        <v>16</v>
      </c>
      <c r="E520" s="25" t="s">
        <v>684</v>
      </c>
      <c r="F520" s="36" t="str">
        <f>+_xlfn.XLOOKUP(E520,Data_Cleaning!$B$6:$B$50,Data_Cleaning!$C$6:$C$50)</f>
        <v>Barcelona​</v>
      </c>
      <c r="G520" s="36" t="str" cm="1">
        <f t="array" ref="G520">_xlfn.XLOOKUP(TRUE,ISNUMBER(SEARCH(Data_Cleaning!$F$6:$F$36,C520)),Data_Cleaning!$G$6:$G$36,"Other",0)</f>
        <v>Sciences</v>
      </c>
      <c r="H520" s="24" t="str">
        <f>+_xlfn.XLOOKUP(G520,Data_Cleaning!$J$6:$J$11,Data_Cleaning!$K$6:$K$11)</f>
        <v>Science and Technology</v>
      </c>
      <c r="I520" s="12">
        <v>11809</v>
      </c>
      <c r="J520" s="12">
        <v>5000</v>
      </c>
      <c r="K520" s="12">
        <v>6740</v>
      </c>
      <c r="L520" s="12">
        <v>5000</v>
      </c>
    </row>
    <row r="521" spans="2:12" ht="15" customHeight="1">
      <c r="B521" s="10">
        <v>71081</v>
      </c>
      <c r="C521" s="22" t="s">
        <v>331</v>
      </c>
      <c r="D521" s="11" t="s">
        <v>18</v>
      </c>
      <c r="E521" s="25" t="s">
        <v>696</v>
      </c>
      <c r="F521" s="36" t="str">
        <f>+_xlfn.XLOOKUP(E521,Data_Cleaning!$B$6:$B$50,Data_Cleaning!$C$6:$C$50)</f>
        <v>Tarragona​</v>
      </c>
      <c r="G521" s="36" t="str" cm="1">
        <f t="array" ref="G521">_xlfn.XLOOKUP(TRUE,ISNUMBER(SEARCH(Data_Cleaning!$F$6:$F$36,C521)),Data_Cleaning!$G$6:$G$36,"Other",0)</f>
        <v>Engineering and Architecture</v>
      </c>
      <c r="H521" s="24" t="str">
        <f>+_xlfn.XLOOKUP(G521,Data_Cleaning!$J$6:$J$11,Data_Cleaning!$K$6:$K$11)</f>
        <v>Science and Technology</v>
      </c>
      <c r="I521" s="12">
        <v>11810</v>
      </c>
      <c r="J521" s="12">
        <v>5000</v>
      </c>
      <c r="K521" s="12">
        <v>6170</v>
      </c>
      <c r="L521" s="12">
        <v>5000</v>
      </c>
    </row>
    <row r="522" spans="2:12" ht="15" customHeight="1">
      <c r="B522" s="10">
        <v>41070</v>
      </c>
      <c r="C522" s="23" t="s">
        <v>662</v>
      </c>
      <c r="D522" s="11" t="s">
        <v>11</v>
      </c>
      <c r="E522" s="25" t="s">
        <v>684</v>
      </c>
      <c r="F522" s="36" t="str">
        <f>+_xlfn.XLOOKUP(E522,Data_Cleaning!$B$6:$B$50,Data_Cleaning!$C$6:$C$50)</f>
        <v>Barcelona​</v>
      </c>
      <c r="G522" s="36" t="str" cm="1">
        <f t="array" ref="G522">_xlfn.XLOOKUP(TRUE,ISNUMBER(SEARCH(Data_Cleaning!$F$6:$F$36,C522)),Data_Cleaning!$G$6:$G$36,"Other",0)</f>
        <v>Engineering and Architecture</v>
      </c>
      <c r="H522" s="24" t="str">
        <f>+_xlfn.XLOOKUP(G522,Data_Cleaning!$J$6:$J$11,Data_Cleaning!$K$6:$K$11)</f>
        <v>Science and Technology</v>
      </c>
      <c r="I522" s="12">
        <v>11818</v>
      </c>
      <c r="J522" s="12">
        <v>5000</v>
      </c>
      <c r="K522" s="12">
        <v>8480</v>
      </c>
      <c r="L522" s="12">
        <v>5000</v>
      </c>
    </row>
    <row r="523" spans="2:12" ht="15" customHeight="1">
      <c r="B523" s="10">
        <v>11004</v>
      </c>
      <c r="C523" s="22" t="s">
        <v>85</v>
      </c>
      <c r="D523" s="11" t="s">
        <v>16</v>
      </c>
      <c r="E523" s="25" t="s">
        <v>684</v>
      </c>
      <c r="F523" s="36" t="str">
        <f>+_xlfn.XLOOKUP(E523,Data_Cleaning!$B$6:$B$50,Data_Cleaning!$C$6:$C$50)</f>
        <v>Barcelona​</v>
      </c>
      <c r="G523" s="36" t="s">
        <v>768</v>
      </c>
      <c r="H523" s="24" t="str">
        <f>+_xlfn.XLOOKUP(G523,Data_Cleaning!$J$6:$J$11,Data_Cleaning!$K$6:$K$11)</f>
        <v>Science and Technology</v>
      </c>
      <c r="I523" s="12">
        <v>11830</v>
      </c>
      <c r="J523" s="12">
        <v>5000</v>
      </c>
      <c r="K523" s="12">
        <v>6510</v>
      </c>
      <c r="L523" s="12">
        <v>5000</v>
      </c>
    </row>
    <row r="524" spans="2:12" ht="15" customHeight="1">
      <c r="B524" s="10">
        <v>41034</v>
      </c>
      <c r="C524" s="23" t="s">
        <v>620</v>
      </c>
      <c r="D524" s="11" t="s">
        <v>11</v>
      </c>
      <c r="E524" s="25" t="s">
        <v>684</v>
      </c>
      <c r="F524" s="36" t="str">
        <f>+_xlfn.XLOOKUP(E524,Data_Cleaning!$B$6:$B$50,Data_Cleaning!$C$6:$C$50)</f>
        <v>Barcelona​</v>
      </c>
      <c r="G524" s="36" t="str" cm="1">
        <f t="array" ref="G524">_xlfn.XLOOKUP(TRUE,ISNUMBER(SEARCH(Data_Cleaning!$F$6:$F$36,C524)),Data_Cleaning!$G$6:$G$36,"Other",0)</f>
        <v>Social Sciences and Law</v>
      </c>
      <c r="H524" s="24" t="str">
        <f>+_xlfn.XLOOKUP(G524,Data_Cleaning!$J$6:$J$11,Data_Cleaning!$K$6:$K$11)</f>
        <v>Social Sciences</v>
      </c>
      <c r="I524" s="12">
        <v>11860</v>
      </c>
      <c r="J524" s="12">
        <v>5000</v>
      </c>
      <c r="K524" s="12">
        <v>5000</v>
      </c>
      <c r="L524" s="12">
        <v>5000</v>
      </c>
    </row>
    <row r="525" spans="2:12" ht="15" customHeight="1">
      <c r="B525" s="10">
        <v>91054</v>
      </c>
      <c r="C525" s="22" t="s">
        <v>498</v>
      </c>
      <c r="D525" s="11" t="s">
        <v>28</v>
      </c>
      <c r="E525" s="25" t="s">
        <v>692</v>
      </c>
      <c r="F525" s="36" t="str">
        <f>+_xlfn.XLOOKUP(E525,Data_Cleaning!$B$6:$B$50,Data_Cleaning!$C$6:$C$50)</f>
        <v>Barcelona​</v>
      </c>
      <c r="G525" s="36" t="str" cm="1">
        <f t="array" ref="G525">_xlfn.XLOOKUP(TRUE,ISNUMBER(SEARCH(Data_Cleaning!$F$6:$F$36,C525)),Data_Cleaning!$G$6:$G$36,"Other",0)</f>
        <v>Health Sciences</v>
      </c>
      <c r="H525" s="24" t="str">
        <f>+_xlfn.XLOOKUP(G525,Data_Cleaning!$J$6:$J$11,Data_Cleaning!$K$6:$K$11)</f>
        <v>Science and Technology</v>
      </c>
      <c r="I525" s="12">
        <v>11865</v>
      </c>
      <c r="J525" s="12">
        <v>5000</v>
      </c>
      <c r="K525" s="12">
        <v>9070</v>
      </c>
      <c r="L525" s="12">
        <v>5000</v>
      </c>
    </row>
    <row r="526" spans="2:12" ht="15" customHeight="1">
      <c r="B526" s="10">
        <v>11075</v>
      </c>
      <c r="C526" s="23" t="s">
        <v>666</v>
      </c>
      <c r="D526" s="11" t="s">
        <v>16</v>
      </c>
      <c r="E526" s="25" t="s">
        <v>717</v>
      </c>
      <c r="F526" s="36" t="str">
        <f>+_xlfn.XLOOKUP(E526,Data_Cleaning!$B$6:$B$50,Data_Cleaning!$C$6:$C$50)</f>
        <v>Barcelona​</v>
      </c>
      <c r="G526" s="36" t="str" cm="1">
        <f t="array" ref="G526">_xlfn.XLOOKUP(TRUE,ISNUMBER(SEARCH(Data_Cleaning!$F$6:$F$36,C526)),Data_Cleaning!$G$6:$G$36,"Other",0)</f>
        <v>Double Degree</v>
      </c>
      <c r="H526" s="24" t="s">
        <v>794</v>
      </c>
      <c r="I526" s="12">
        <v>11934</v>
      </c>
      <c r="J526" s="12">
        <v>6000</v>
      </c>
      <c r="K526" s="12">
        <v>7410</v>
      </c>
      <c r="L526" s="12">
        <v>5000</v>
      </c>
    </row>
    <row r="527" spans="2:12" ht="15" customHeight="1">
      <c r="B527" s="10">
        <v>31106</v>
      </c>
      <c r="C527" s="22" t="s">
        <v>462</v>
      </c>
      <c r="D527" s="11" t="s">
        <v>58</v>
      </c>
      <c r="E527" s="25" t="s">
        <v>684</v>
      </c>
      <c r="F527" s="36" t="str">
        <f>+_xlfn.XLOOKUP(E527,Data_Cleaning!$B$6:$B$50,Data_Cleaning!$C$6:$C$50)</f>
        <v>Barcelona​</v>
      </c>
      <c r="G527" s="40" t="s">
        <v>753</v>
      </c>
      <c r="H527" s="24" t="str">
        <f>+_xlfn.XLOOKUP(G527,Data_Cleaning!$J$6:$J$11,Data_Cleaning!$K$6:$K$11)</f>
        <v>Science and Technology</v>
      </c>
      <c r="I527" s="12">
        <v>11942</v>
      </c>
      <c r="J527" s="12">
        <v>5000</v>
      </c>
      <c r="K527" s="12">
        <v>8050</v>
      </c>
      <c r="L527" s="12">
        <v>5000</v>
      </c>
    </row>
    <row r="528" spans="2:12" ht="15" customHeight="1">
      <c r="B528" s="10">
        <v>31051</v>
      </c>
      <c r="C528" s="22" t="s">
        <v>244</v>
      </c>
      <c r="D528" s="11" t="s">
        <v>58</v>
      </c>
      <c r="E528" s="25" t="s">
        <v>713</v>
      </c>
      <c r="F528" s="36" t="str">
        <f>+_xlfn.XLOOKUP(E528,Data_Cleaning!$B$6:$B$50,Data_Cleaning!$C$6:$C$50)</f>
        <v>Barcelona​</v>
      </c>
      <c r="G528" s="40" t="str" cm="1">
        <f t="array" ref="G528">_xlfn.XLOOKUP(TRUE,ISNUMBER(SEARCH(Data_Cleaning!$F$6:$F$36,C528)),Data_Cleaning!$G$6:$G$36,"Other",0)</f>
        <v>Engineering and Architecture</v>
      </c>
      <c r="H528" s="24" t="str">
        <f>+_xlfn.XLOOKUP(G528,Data_Cleaning!$J$6:$J$11,Data_Cleaning!$K$6:$K$11)</f>
        <v>Science and Technology</v>
      </c>
      <c r="I528" s="12">
        <v>11946</v>
      </c>
      <c r="J528" s="12">
        <v>5000</v>
      </c>
      <c r="K528" s="12">
        <v>5000</v>
      </c>
      <c r="L528" s="12">
        <v>5000</v>
      </c>
    </row>
    <row r="529" spans="2:12" ht="15" customHeight="1">
      <c r="B529" s="10">
        <v>11066</v>
      </c>
      <c r="C529" s="22" t="s">
        <v>44</v>
      </c>
      <c r="D529" s="11" t="s">
        <v>16</v>
      </c>
      <c r="E529" s="25" t="s">
        <v>684</v>
      </c>
      <c r="F529" s="36" t="str">
        <f>+_xlfn.XLOOKUP(E529,Data_Cleaning!$B$6:$B$50,Data_Cleaning!$C$6:$C$50)</f>
        <v>Barcelona​</v>
      </c>
      <c r="G529" s="40" t="str" cm="1">
        <f t="array" ref="G529">_xlfn.XLOOKUP(TRUE,ISNUMBER(SEARCH(Data_Cleaning!$F$6:$F$36,C529)),Data_Cleaning!$G$6:$G$36,"Other",0)</f>
        <v>Double Degree</v>
      </c>
      <c r="H529" s="24" t="s">
        <v>794</v>
      </c>
      <c r="I529" s="12">
        <v>11980</v>
      </c>
      <c r="J529" s="12">
        <v>8563</v>
      </c>
      <c r="K529" s="12">
        <v>5000</v>
      </c>
      <c r="L529" s="12">
        <v>5000</v>
      </c>
    </row>
    <row r="530" spans="2:12" ht="15" customHeight="1">
      <c r="B530" s="10">
        <v>21003</v>
      </c>
      <c r="C530" s="22" t="s">
        <v>490</v>
      </c>
      <c r="D530" s="11" t="s">
        <v>20</v>
      </c>
      <c r="E530" s="25" t="s">
        <v>685</v>
      </c>
      <c r="F530" s="36" t="str">
        <f>+_xlfn.XLOOKUP(E530,Data_Cleaning!$B$6:$B$50,Data_Cleaning!$C$6:$C$50)</f>
        <v>Barcelona​</v>
      </c>
      <c r="G530" s="40" t="str" cm="1">
        <f t="array" ref="G530">_xlfn.XLOOKUP(TRUE,ISNUMBER(SEARCH(Data_Cleaning!$F$6:$F$36,C530)),Data_Cleaning!$G$6:$G$36,"Other",0)</f>
        <v>Sciences</v>
      </c>
      <c r="H530" s="24" t="str">
        <f>+_xlfn.XLOOKUP(G530,Data_Cleaning!$J$6:$J$11,Data_Cleaning!$K$6:$K$11)</f>
        <v>Science and Technology</v>
      </c>
      <c r="I530" s="12">
        <v>12002</v>
      </c>
      <c r="J530" s="12">
        <v>5000</v>
      </c>
      <c r="K530" s="12">
        <v>7730</v>
      </c>
      <c r="L530" s="12">
        <v>5000</v>
      </c>
    </row>
    <row r="531" spans="2:12" ht="15" customHeight="1">
      <c r="B531" s="10">
        <v>21083</v>
      </c>
      <c r="C531" s="22" t="s">
        <v>587</v>
      </c>
      <c r="D531" s="11" t="s">
        <v>20</v>
      </c>
      <c r="E531" s="25" t="s">
        <v>685</v>
      </c>
      <c r="F531" s="36" t="str">
        <f>+_xlfn.XLOOKUP(E531,Data_Cleaning!$B$6:$B$50,Data_Cleaning!$C$6:$C$50)</f>
        <v>Barcelona​</v>
      </c>
      <c r="G531" s="40" t="str" cm="1">
        <f t="array" ref="G531">_xlfn.XLOOKUP(TRUE,ISNUMBER(SEARCH(Data_Cleaning!$F$6:$F$36,C531)),Data_Cleaning!$G$6:$G$36,"Other",0)</f>
        <v>Health Sciences</v>
      </c>
      <c r="H531" s="24" t="str">
        <f>+_xlfn.XLOOKUP(G531,Data_Cleaning!$J$6:$J$11,Data_Cleaning!$K$6:$K$11)</f>
        <v>Science and Technology</v>
      </c>
      <c r="I531" s="12">
        <v>12024</v>
      </c>
      <c r="J531" s="12">
        <v>7188</v>
      </c>
      <c r="K531" s="12">
        <v>8620</v>
      </c>
      <c r="L531" s="12">
        <v>6500</v>
      </c>
    </row>
    <row r="532" spans="2:12" ht="15" customHeight="1">
      <c r="B532" s="10">
        <v>41071</v>
      </c>
      <c r="C532" s="22" t="s">
        <v>107</v>
      </c>
      <c r="D532" s="11" t="s">
        <v>11</v>
      </c>
      <c r="E532" s="25" t="s">
        <v>684</v>
      </c>
      <c r="F532" s="36" t="str">
        <f>+_xlfn.XLOOKUP(E532,Data_Cleaning!$B$6:$B$50,Data_Cleaning!$C$6:$C$50)</f>
        <v>Barcelona​</v>
      </c>
      <c r="G532" s="40" t="s">
        <v>768</v>
      </c>
      <c r="H532" s="24" t="str">
        <f>+_xlfn.XLOOKUP(G532,Data_Cleaning!$J$6:$J$11,Data_Cleaning!$K$6:$K$11)</f>
        <v>Science and Technology</v>
      </c>
      <c r="I532" s="12">
        <v>12046</v>
      </c>
      <c r="J532" s="12">
        <v>6188</v>
      </c>
      <c r="K532" s="12">
        <v>9060</v>
      </c>
      <c r="L532" s="12">
        <v>5000</v>
      </c>
    </row>
    <row r="533" spans="2:12" ht="15" customHeight="1">
      <c r="B533" s="10">
        <v>41042</v>
      </c>
      <c r="C533" s="22" t="s">
        <v>385</v>
      </c>
      <c r="D533" s="11" t="s">
        <v>386</v>
      </c>
      <c r="E533" s="25" t="s">
        <v>718</v>
      </c>
      <c r="F533" s="36" t="str">
        <f>+_xlfn.XLOOKUP(E533,Data_Cleaning!$B$6:$B$50,Data_Cleaning!$C$6:$C$50)</f>
        <v>Barcelona​</v>
      </c>
      <c r="G533" s="40" t="str" cm="1">
        <f t="array" ref="G533">_xlfn.XLOOKUP(TRUE,ISNUMBER(SEARCH(Data_Cleaning!$F$6:$F$36,C533)),Data_Cleaning!$G$6:$G$36,"Other",0)</f>
        <v>Social Sciences and Law</v>
      </c>
      <c r="H533" s="24" t="str">
        <f>+_xlfn.XLOOKUP(G533,Data_Cleaning!$J$6:$J$11,Data_Cleaning!$K$6:$K$11)</f>
        <v>Social Sciences</v>
      </c>
      <c r="I533" s="12">
        <v>12046</v>
      </c>
      <c r="J533" s="12">
        <v>5000</v>
      </c>
      <c r="K533" s="12">
        <v>6625</v>
      </c>
      <c r="L533" s="12">
        <v>5000</v>
      </c>
    </row>
    <row r="534" spans="2:12" ht="15" customHeight="1">
      <c r="B534" s="10">
        <v>21168</v>
      </c>
      <c r="C534" s="22" t="s">
        <v>389</v>
      </c>
      <c r="D534" s="11" t="s">
        <v>20</v>
      </c>
      <c r="E534" s="25" t="s">
        <v>685</v>
      </c>
      <c r="F534" s="36" t="str">
        <f>+_xlfn.XLOOKUP(E534,Data_Cleaning!$B$6:$B$50,Data_Cleaning!$C$6:$C$50)</f>
        <v>Barcelona​</v>
      </c>
      <c r="G534" s="36" t="str" cm="1">
        <f t="array" ref="G534">_xlfn.XLOOKUP(TRUE,ISNUMBER(SEARCH(Data_Cleaning!$F$6:$F$36,C534)),Data_Cleaning!$G$6:$G$36,"Other",0)</f>
        <v>Sciences</v>
      </c>
      <c r="H534" s="24" t="str">
        <f>+_xlfn.XLOOKUP(G534,Data_Cleaning!$J$6:$J$11,Data_Cleaning!$K$6:$K$11)</f>
        <v>Science and Technology</v>
      </c>
      <c r="I534" s="12">
        <v>12067</v>
      </c>
      <c r="J534" s="12">
        <v>5000</v>
      </c>
      <c r="K534" s="12">
        <v>8110</v>
      </c>
      <c r="L534" s="12">
        <v>5000</v>
      </c>
    </row>
    <row r="535" spans="2:12" ht="15" customHeight="1">
      <c r="B535" s="10">
        <v>11006</v>
      </c>
      <c r="C535" s="22" t="s">
        <v>108</v>
      </c>
      <c r="D535" s="11" t="s">
        <v>16</v>
      </c>
      <c r="E535" s="25" t="s">
        <v>701</v>
      </c>
      <c r="F535" s="36" t="str">
        <f>+_xlfn.XLOOKUP(E535,Data_Cleaning!$B$6:$B$50,Data_Cleaning!$C$6:$C$50)</f>
        <v>Barcelona​</v>
      </c>
      <c r="G535" s="36" t="s">
        <v>768</v>
      </c>
      <c r="H535" s="24" t="str">
        <f>+_xlfn.XLOOKUP(G535,Data_Cleaning!$J$6:$J$11,Data_Cleaning!$K$6:$K$11)</f>
        <v>Science and Technology</v>
      </c>
      <c r="I535" s="12">
        <v>12192</v>
      </c>
      <c r="J535" s="12">
        <v>5313</v>
      </c>
      <c r="K535" s="12">
        <v>7830</v>
      </c>
      <c r="L535" s="12">
        <v>5000</v>
      </c>
    </row>
    <row r="536" spans="2:12" ht="15" customHeight="1">
      <c r="B536" s="15">
        <v>71054</v>
      </c>
      <c r="C536" s="154" t="s">
        <v>84</v>
      </c>
      <c r="D536" s="14" t="s">
        <v>18</v>
      </c>
      <c r="E536" s="25" t="s">
        <v>696</v>
      </c>
      <c r="F536" s="36" t="str">
        <f>+_xlfn.XLOOKUP(E536,Data_Cleaning!$B$6:$B$50,Data_Cleaning!$C$6:$C$50)</f>
        <v>Tarragona​</v>
      </c>
      <c r="G536" s="40" t="str" cm="1">
        <f t="array" ref="G536">_xlfn.XLOOKUP(TRUE,ISNUMBER(SEARCH(Data_Cleaning!$F$6:$F$36,C536)),Data_Cleaning!$G$6:$G$36,"Other",0)</f>
        <v>Double Degree</v>
      </c>
      <c r="H536" s="24" t="s">
        <v>794</v>
      </c>
      <c r="I536" s="16">
        <v>12280</v>
      </c>
      <c r="J536" s="16">
        <v>5000</v>
      </c>
      <c r="K536" s="16">
        <v>9130</v>
      </c>
      <c r="L536" s="16">
        <v>5000</v>
      </c>
    </row>
    <row r="537" spans="2:12" ht="15" customHeight="1">
      <c r="B537" s="10">
        <v>11041</v>
      </c>
      <c r="C537" s="22" t="s">
        <v>489</v>
      </c>
      <c r="D537" s="11" t="s">
        <v>16</v>
      </c>
      <c r="E537" s="25" t="s">
        <v>684</v>
      </c>
      <c r="F537" s="36" t="str">
        <f>+_xlfn.XLOOKUP(E537,Data_Cleaning!$B$6:$B$50,Data_Cleaning!$C$6:$C$50)</f>
        <v>Barcelona​</v>
      </c>
      <c r="G537" s="40" t="str" cm="1">
        <f t="array" ref="G537">_xlfn.XLOOKUP(TRUE,ISNUMBER(SEARCH(Data_Cleaning!$F$6:$F$36,C537)),Data_Cleaning!$G$6:$G$36,"Other",0)</f>
        <v>Sciences</v>
      </c>
      <c r="H537" s="24" t="str">
        <f>+_xlfn.XLOOKUP(G537,Data_Cleaning!$J$6:$J$11,Data_Cleaning!$K$6:$K$11)</f>
        <v>Science and Technology</v>
      </c>
      <c r="I537" s="12">
        <v>12286</v>
      </c>
      <c r="J537" s="12">
        <v>6063</v>
      </c>
      <c r="K537" s="12">
        <v>8300</v>
      </c>
      <c r="L537" s="12">
        <v>7667</v>
      </c>
    </row>
    <row r="538" spans="2:12" ht="15" customHeight="1">
      <c r="B538" s="10">
        <v>21170</v>
      </c>
      <c r="C538" s="22" t="s">
        <v>392</v>
      </c>
      <c r="D538" s="11" t="s">
        <v>20</v>
      </c>
      <c r="E538" s="25" t="s">
        <v>685</v>
      </c>
      <c r="F538" s="36" t="str">
        <f>+_xlfn.XLOOKUP(E538,Data_Cleaning!$B$6:$B$50,Data_Cleaning!$C$6:$C$50)</f>
        <v>Barcelona​</v>
      </c>
      <c r="G538" s="40" t="str" cm="1">
        <f t="array" ref="G538">_xlfn.XLOOKUP(TRUE,ISNUMBER(SEARCH(Data_Cleaning!$F$6:$F$36,C538)),Data_Cleaning!$G$6:$G$36,"Other",0)</f>
        <v>Double Degree</v>
      </c>
      <c r="H538" s="24" t="s">
        <v>794</v>
      </c>
      <c r="I538" s="12">
        <v>12348</v>
      </c>
      <c r="J538" s="12">
        <v>5000</v>
      </c>
      <c r="K538" s="12">
        <v>6950</v>
      </c>
      <c r="L538" s="12">
        <v>5000</v>
      </c>
    </row>
    <row r="539" spans="2:12" ht="15" customHeight="1">
      <c r="B539" s="10">
        <v>21010</v>
      </c>
      <c r="C539" s="22" t="s">
        <v>109</v>
      </c>
      <c r="D539" s="11" t="s">
        <v>20</v>
      </c>
      <c r="E539" s="25" t="s">
        <v>685</v>
      </c>
      <c r="F539" s="36" t="str">
        <f>+_xlfn.XLOOKUP(E539,Data_Cleaning!$B$6:$B$50,Data_Cleaning!$C$6:$C$50)</f>
        <v>Barcelona​</v>
      </c>
      <c r="G539" s="40" t="s">
        <v>768</v>
      </c>
      <c r="H539" s="24" t="str">
        <f>+_xlfn.XLOOKUP(G539,Data_Cleaning!$J$6:$J$11,Data_Cleaning!$K$6:$K$11)</f>
        <v>Science and Technology</v>
      </c>
      <c r="I539" s="12">
        <v>12372</v>
      </c>
      <c r="J539" s="12">
        <v>5813</v>
      </c>
      <c r="K539" s="12">
        <v>8020</v>
      </c>
      <c r="L539" s="12">
        <v>5000</v>
      </c>
    </row>
    <row r="540" spans="2:12" ht="15" customHeight="1">
      <c r="B540" s="10">
        <v>41022</v>
      </c>
      <c r="C540" s="23" t="s">
        <v>664</v>
      </c>
      <c r="D540" s="11" t="s">
        <v>11</v>
      </c>
      <c r="E540" s="25" t="s">
        <v>684</v>
      </c>
      <c r="F540" s="36" t="str">
        <f>+_xlfn.XLOOKUP(E540,Data_Cleaning!$B$6:$B$50,Data_Cleaning!$C$6:$C$50)</f>
        <v>Barcelona​</v>
      </c>
      <c r="G540" s="40" t="str" cm="1">
        <f t="array" ref="G540">_xlfn.XLOOKUP(TRUE,ISNUMBER(SEARCH(Data_Cleaning!$F$6:$F$36,C540)),Data_Cleaning!$G$6:$G$36,"Other",0)</f>
        <v>Social Sciences and Law</v>
      </c>
      <c r="H540" s="24" t="str">
        <f>+_xlfn.XLOOKUP(G540,Data_Cleaning!$J$6:$J$11,Data_Cleaning!$K$6:$K$11)</f>
        <v>Social Sciences</v>
      </c>
      <c r="I540" s="12">
        <v>12392</v>
      </c>
      <c r="J540" s="12">
        <v>5500</v>
      </c>
      <c r="K540" s="12">
        <v>6400</v>
      </c>
      <c r="L540" s="12">
        <v>5000</v>
      </c>
    </row>
    <row r="541" spans="2:12" ht="15" customHeight="1">
      <c r="B541" s="10">
        <v>41067</v>
      </c>
      <c r="C541" s="22" t="s">
        <v>243</v>
      </c>
      <c r="D541" s="11" t="s">
        <v>11</v>
      </c>
      <c r="E541" s="25" t="s">
        <v>684</v>
      </c>
      <c r="F541" s="36" t="str">
        <f>+_xlfn.XLOOKUP(E541,Data_Cleaning!$B$6:$B$50,Data_Cleaning!$C$6:$C$50)</f>
        <v>Barcelona​</v>
      </c>
      <c r="G541" s="40" t="str" cm="1">
        <f t="array" ref="G541">_xlfn.XLOOKUP(TRUE,ISNUMBER(SEARCH(Data_Cleaning!$F$6:$F$36,C541)),Data_Cleaning!$G$6:$G$36,"Other",0)</f>
        <v>Engineering and Architecture</v>
      </c>
      <c r="H541" s="24" t="str">
        <f>+_xlfn.XLOOKUP(G541,Data_Cleaning!$J$6:$J$11,Data_Cleaning!$K$6:$K$11)</f>
        <v>Science and Technology</v>
      </c>
      <c r="I541" s="12">
        <v>12398</v>
      </c>
      <c r="J541" s="12">
        <v>5000</v>
      </c>
      <c r="K541" s="12">
        <v>7880</v>
      </c>
      <c r="L541" s="12">
        <v>5000</v>
      </c>
    </row>
    <row r="542" spans="2:12" ht="15" customHeight="1">
      <c r="B542" s="10">
        <v>11044</v>
      </c>
      <c r="C542" s="22" t="s">
        <v>516</v>
      </c>
      <c r="D542" s="11" t="s">
        <v>16</v>
      </c>
      <c r="E542" s="25" t="s">
        <v>709</v>
      </c>
      <c r="F542" s="36" t="str">
        <f>+_xlfn.XLOOKUP(E542,Data_Cleaning!$B$6:$B$50,Data_Cleaning!$C$6:$C$50)</f>
        <v>Barcelona​</v>
      </c>
      <c r="G542" s="40" t="s">
        <v>768</v>
      </c>
      <c r="H542" s="24" t="str">
        <f>+_xlfn.XLOOKUP(G542,Data_Cleaning!$J$6:$J$11,Data_Cleaning!$K$6:$K$11)</f>
        <v>Science and Technology</v>
      </c>
      <c r="I542" s="12">
        <v>12411</v>
      </c>
      <c r="J542" s="12">
        <v>6532</v>
      </c>
      <c r="K542" s="12">
        <v>8995</v>
      </c>
      <c r="L542" s="12">
        <v>5000</v>
      </c>
    </row>
    <row r="543" spans="2:12" ht="15" customHeight="1">
      <c r="B543" s="10">
        <v>81001</v>
      </c>
      <c r="C543" s="22" t="s">
        <v>494</v>
      </c>
      <c r="D543" s="11" t="s">
        <v>23</v>
      </c>
      <c r="E543" s="25" t="s">
        <v>686</v>
      </c>
      <c r="F543" s="36" t="str">
        <f>+_xlfn.XLOOKUP(E543,Data_Cleaning!$B$6:$B$50,Data_Cleaning!$C$6:$C$50)</f>
        <v>Girona​</v>
      </c>
      <c r="G543" s="40" t="str" cm="1">
        <f t="array" ref="G543">_xlfn.XLOOKUP(TRUE,ISNUMBER(SEARCH(Data_Cleaning!$F$6:$F$36,C543)),Data_Cleaning!$G$6:$G$36,"Other",0)</f>
        <v>Health Sciences</v>
      </c>
      <c r="H543" s="24" t="str">
        <f>+_xlfn.XLOOKUP(G543,Data_Cleaning!$J$6:$J$11,Data_Cleaning!$K$6:$K$11)</f>
        <v>Science and Technology</v>
      </c>
      <c r="I543" s="12">
        <v>12453</v>
      </c>
      <c r="J543" s="12">
        <v>5750</v>
      </c>
      <c r="K543" s="12">
        <v>9340</v>
      </c>
      <c r="L543" s="12">
        <v>5000</v>
      </c>
    </row>
    <row r="544" spans="2:12" ht="15" customHeight="1">
      <c r="B544" s="10">
        <v>61030</v>
      </c>
      <c r="C544" s="22" t="s">
        <v>496</v>
      </c>
      <c r="D544" s="11" t="s">
        <v>25</v>
      </c>
      <c r="E544" s="25" t="s">
        <v>688</v>
      </c>
      <c r="F544" s="36" t="str">
        <f>+_xlfn.XLOOKUP(E544,Data_Cleaning!$B$6:$B$50,Data_Cleaning!$C$6:$C$50)</f>
        <v>Lleida​</v>
      </c>
      <c r="G544" s="40" t="str" cm="1">
        <f t="array" ref="G544">_xlfn.XLOOKUP(TRUE,ISNUMBER(SEARCH(Data_Cleaning!$F$6:$F$36,C544)),Data_Cleaning!$G$6:$G$36,"Other",0)</f>
        <v>Health Sciences</v>
      </c>
      <c r="H544" s="24" t="str">
        <f>+_xlfn.XLOOKUP(G544,Data_Cleaning!$J$6:$J$11,Data_Cleaning!$K$6:$K$11)</f>
        <v>Science and Technology</v>
      </c>
      <c r="I544" s="12">
        <v>12467</v>
      </c>
      <c r="J544" s="12">
        <v>5032</v>
      </c>
      <c r="K544" s="12">
        <v>9270</v>
      </c>
      <c r="L544" s="12">
        <v>5000</v>
      </c>
    </row>
    <row r="545" spans="2:12" ht="15" customHeight="1">
      <c r="B545" s="10">
        <v>21079</v>
      </c>
      <c r="C545" s="22" t="s">
        <v>493</v>
      </c>
      <c r="D545" s="11" t="s">
        <v>20</v>
      </c>
      <c r="E545" s="25" t="s">
        <v>685</v>
      </c>
      <c r="F545" s="36" t="str">
        <f>+_xlfn.XLOOKUP(E545,Data_Cleaning!$B$6:$B$50,Data_Cleaning!$C$6:$C$50)</f>
        <v>Barcelona​</v>
      </c>
      <c r="G545" s="36" t="str" cm="1">
        <f t="array" ref="G545">_xlfn.XLOOKUP(TRUE,ISNUMBER(SEARCH(Data_Cleaning!$F$6:$F$36,C545)),Data_Cleaning!$G$6:$G$36,"Other",0)</f>
        <v>Health Sciences</v>
      </c>
      <c r="H545" s="24" t="str">
        <f>+_xlfn.XLOOKUP(G545,Data_Cleaning!$J$6:$J$11,Data_Cleaning!$K$6:$K$11)</f>
        <v>Science and Technology</v>
      </c>
      <c r="I545" s="12">
        <v>12494</v>
      </c>
      <c r="J545" s="12">
        <v>5625</v>
      </c>
      <c r="K545" s="12">
        <v>9270</v>
      </c>
      <c r="L545" s="12">
        <v>5000</v>
      </c>
    </row>
    <row r="546" spans="2:12" ht="15" customHeight="1">
      <c r="B546" s="10">
        <v>31089</v>
      </c>
      <c r="C546" s="22" t="s">
        <v>93</v>
      </c>
      <c r="D546" s="11" t="s">
        <v>58</v>
      </c>
      <c r="E546" s="25" t="s">
        <v>684</v>
      </c>
      <c r="F546" s="36" t="str">
        <f>+_xlfn.XLOOKUP(E546,Data_Cleaning!$B$6:$B$50,Data_Cleaning!$C$6:$C$50)</f>
        <v>Barcelona​</v>
      </c>
      <c r="G546" s="36" t="str" cm="1">
        <f t="array" ref="G546">_xlfn.XLOOKUP(TRUE,ISNUMBER(SEARCH(Data_Cleaning!$F$6:$F$36,C546)),Data_Cleaning!$G$6:$G$36,"Other",0)</f>
        <v>Engineering and Architecture</v>
      </c>
      <c r="H546" s="24" t="str">
        <f>+_xlfn.XLOOKUP(G546,Data_Cleaning!$J$6:$J$11,Data_Cleaning!$K$6:$K$11)</f>
        <v>Science and Technology</v>
      </c>
      <c r="I546" s="12">
        <v>12514</v>
      </c>
      <c r="J546" s="12">
        <v>5000</v>
      </c>
      <c r="K546" s="12">
        <v>6610</v>
      </c>
      <c r="L546" s="12">
        <v>5000</v>
      </c>
    </row>
    <row r="547" spans="2:12" ht="15" customHeight="1">
      <c r="B547" s="153">
        <v>91915</v>
      </c>
      <c r="C547" s="23" t="s">
        <v>588</v>
      </c>
      <c r="D547" s="155" t="s">
        <v>561</v>
      </c>
      <c r="E547" s="25" t="s">
        <v>684</v>
      </c>
      <c r="F547" s="36" t="str">
        <f>+_xlfn.XLOOKUP(E547,Data_Cleaning!$B$6:$B$50,Data_Cleaning!$C$6:$C$50)</f>
        <v>Barcelona​</v>
      </c>
      <c r="G547" s="36" t="s">
        <v>753</v>
      </c>
      <c r="H547" s="24" t="str">
        <f>+_xlfn.XLOOKUP(G547,Data_Cleaning!$J$6:$J$11,Data_Cleaning!$K$6:$K$11)</f>
        <v>Science and Technology</v>
      </c>
      <c r="I547" s="156">
        <v>12540</v>
      </c>
      <c r="J547" s="156">
        <v>5000</v>
      </c>
      <c r="K547" s="156">
        <v>5000</v>
      </c>
      <c r="L547" s="156">
        <v>5000</v>
      </c>
    </row>
    <row r="548" spans="2:12" ht="15" customHeight="1">
      <c r="B548" s="10">
        <v>71019</v>
      </c>
      <c r="C548" s="22" t="s">
        <v>497</v>
      </c>
      <c r="D548" s="11" t="s">
        <v>18</v>
      </c>
      <c r="E548" s="25" t="s">
        <v>690</v>
      </c>
      <c r="F548" s="36" t="str">
        <f>+_xlfn.XLOOKUP(E548,Data_Cleaning!$B$6:$B$50,Data_Cleaning!$C$6:$C$50)</f>
        <v>Tarragona​</v>
      </c>
      <c r="G548" s="36" t="str" cm="1">
        <f t="array" ref="G548">_xlfn.XLOOKUP(TRUE,ISNUMBER(SEARCH(Data_Cleaning!$F$6:$F$36,C548)),Data_Cleaning!$G$6:$G$36,"Other",0)</f>
        <v>Health Sciences</v>
      </c>
      <c r="H548" s="24" t="str">
        <f>+_xlfn.XLOOKUP(G548,Data_Cleaning!$J$6:$J$11,Data_Cleaning!$K$6:$K$11)</f>
        <v>Science and Technology</v>
      </c>
      <c r="I548" s="12">
        <v>12576</v>
      </c>
      <c r="J548" s="12">
        <v>6813</v>
      </c>
      <c r="K548" s="12">
        <v>9530</v>
      </c>
      <c r="L548" s="12">
        <v>5000</v>
      </c>
    </row>
    <row r="549" spans="2:12" ht="15" customHeight="1">
      <c r="B549" s="10">
        <v>31067</v>
      </c>
      <c r="C549" s="22" t="s">
        <v>317</v>
      </c>
      <c r="D549" s="11" t="s">
        <v>58</v>
      </c>
      <c r="E549" s="25" t="s">
        <v>684</v>
      </c>
      <c r="F549" s="36" t="str">
        <f>+_xlfn.XLOOKUP(E549,Data_Cleaning!$B$6:$B$50,Data_Cleaning!$C$6:$C$50)</f>
        <v>Barcelona​</v>
      </c>
      <c r="G549" s="36" t="str" cm="1">
        <f t="array" ref="G549">_xlfn.XLOOKUP(TRUE,ISNUMBER(SEARCH(Data_Cleaning!$F$6:$F$36,C549)),Data_Cleaning!$G$6:$G$36,"Other",0)</f>
        <v>Engineering and Architecture</v>
      </c>
      <c r="H549" s="24" t="str">
        <f>+_xlfn.XLOOKUP(G549,Data_Cleaning!$J$6:$J$11,Data_Cleaning!$K$6:$K$11)</f>
        <v>Science and Technology</v>
      </c>
      <c r="I549" s="12">
        <v>12610</v>
      </c>
      <c r="J549" s="12">
        <v>6563</v>
      </c>
      <c r="K549" s="12">
        <v>5000</v>
      </c>
      <c r="L549" s="12">
        <v>5000</v>
      </c>
    </row>
    <row r="550" spans="2:12" ht="15" customHeight="1">
      <c r="B550" s="10">
        <v>31031</v>
      </c>
      <c r="C550" s="22" t="s">
        <v>316</v>
      </c>
      <c r="D550" s="11" t="s">
        <v>58</v>
      </c>
      <c r="E550" s="25" t="s">
        <v>706</v>
      </c>
      <c r="F550" s="36" t="str">
        <f>+_xlfn.XLOOKUP(E550,Data_Cleaning!$B$6:$B$50,Data_Cleaning!$C$6:$C$50)</f>
        <v>Barcelona​</v>
      </c>
      <c r="G550" s="36" t="str" cm="1">
        <f t="array" ref="G550">_xlfn.XLOOKUP(TRUE,ISNUMBER(SEARCH(Data_Cleaning!$F$6:$F$36,C550)),Data_Cleaning!$G$6:$G$36,"Other",0)</f>
        <v>Engineering and Architecture</v>
      </c>
      <c r="H550" s="24" t="str">
        <f>+_xlfn.XLOOKUP(G550,Data_Cleaning!$J$6:$J$11,Data_Cleaning!$K$6:$K$11)</f>
        <v>Science and Technology</v>
      </c>
      <c r="I550" s="12">
        <v>12620</v>
      </c>
      <c r="J550" s="12">
        <v>5000</v>
      </c>
      <c r="K550" s="12">
        <v>7500</v>
      </c>
      <c r="L550" s="12">
        <v>5000</v>
      </c>
    </row>
    <row r="551" spans="2:12" ht="15" customHeight="1">
      <c r="B551" s="10">
        <v>31040</v>
      </c>
      <c r="C551" s="22" t="s">
        <v>489</v>
      </c>
      <c r="D551" s="11" t="s">
        <v>58</v>
      </c>
      <c r="E551" s="25" t="s">
        <v>684</v>
      </c>
      <c r="F551" s="36" t="str">
        <f>+_xlfn.XLOOKUP(E551,Data_Cleaning!$B$6:$B$50,Data_Cleaning!$C$6:$C$50)</f>
        <v>Barcelona​</v>
      </c>
      <c r="G551" s="36" t="str" cm="1">
        <f t="array" ref="G551">_xlfn.XLOOKUP(TRUE,ISNUMBER(SEARCH(Data_Cleaning!$F$6:$F$36,C551)),Data_Cleaning!$G$6:$G$36,"Other",0)</f>
        <v>Sciences</v>
      </c>
      <c r="H551" s="24" t="str">
        <f>+_xlfn.XLOOKUP(G551,Data_Cleaning!$J$6:$J$11,Data_Cleaning!$K$6:$K$11)</f>
        <v>Science and Technology</v>
      </c>
      <c r="I551" s="12">
        <v>12644</v>
      </c>
      <c r="J551" s="12">
        <v>6438</v>
      </c>
      <c r="K551" s="12">
        <v>7640</v>
      </c>
      <c r="L551" s="12">
        <v>5000</v>
      </c>
    </row>
    <row r="552" spans="2:12" ht="15" customHeight="1">
      <c r="B552" s="10">
        <v>41058</v>
      </c>
      <c r="C552" s="22" t="s">
        <v>492</v>
      </c>
      <c r="D552" s="11" t="s">
        <v>11</v>
      </c>
      <c r="E552" s="25" t="s">
        <v>684</v>
      </c>
      <c r="F552" s="36" t="str">
        <f>+_xlfn.XLOOKUP(E552,Data_Cleaning!$B$6:$B$50,Data_Cleaning!$C$6:$C$50)</f>
        <v>Barcelona​</v>
      </c>
      <c r="G552" s="36" t="str" cm="1">
        <f t="array" ref="G552">_xlfn.XLOOKUP(TRUE,ISNUMBER(SEARCH(Data_Cleaning!$F$6:$F$36,C552)),Data_Cleaning!$G$6:$G$36,"Other",0)</f>
        <v>Health Sciences</v>
      </c>
      <c r="H552" s="24" t="str">
        <f>+_xlfn.XLOOKUP(G552,Data_Cleaning!$J$6:$J$11,Data_Cleaning!$K$6:$K$11)</f>
        <v>Science and Technology</v>
      </c>
      <c r="I552" s="12">
        <v>12650</v>
      </c>
      <c r="J552" s="12">
        <v>6438</v>
      </c>
      <c r="K552" s="12">
        <v>9490</v>
      </c>
      <c r="L552" s="12">
        <v>5000</v>
      </c>
    </row>
    <row r="553" spans="2:12" ht="15" customHeight="1">
      <c r="B553" s="10">
        <v>11083</v>
      </c>
      <c r="C553" s="22" t="s">
        <v>495</v>
      </c>
      <c r="D553" s="11" t="s">
        <v>16</v>
      </c>
      <c r="E553" s="25" t="s">
        <v>709</v>
      </c>
      <c r="F553" s="36" t="str">
        <f>+_xlfn.XLOOKUP(E553,Data_Cleaning!$B$6:$B$50,Data_Cleaning!$C$6:$C$50)</f>
        <v>Barcelona​</v>
      </c>
      <c r="G553" s="36" t="str" cm="1">
        <f t="array" ref="G553">_xlfn.XLOOKUP(TRUE,ISNUMBER(SEARCH(Data_Cleaning!$F$6:$F$36,C553)),Data_Cleaning!$G$6:$G$36,"Other",0)</f>
        <v>Health Sciences</v>
      </c>
      <c r="H553" s="24" t="str">
        <f>+_xlfn.XLOOKUP(G553,Data_Cleaning!$J$6:$J$11,Data_Cleaning!$K$6:$K$11)</f>
        <v>Science and Technology</v>
      </c>
      <c r="I553" s="12">
        <v>12650</v>
      </c>
      <c r="J553" s="12">
        <v>6750</v>
      </c>
      <c r="K553" s="12">
        <v>9380</v>
      </c>
      <c r="L553" s="12">
        <v>5000</v>
      </c>
    </row>
    <row r="554" spans="2:12" ht="15" customHeight="1">
      <c r="B554" s="10">
        <v>21145</v>
      </c>
      <c r="C554" s="22" t="s">
        <v>186</v>
      </c>
      <c r="D554" s="11" t="s">
        <v>20</v>
      </c>
      <c r="E554" s="25" t="s">
        <v>685</v>
      </c>
      <c r="F554" s="36" t="str">
        <f>+_xlfn.XLOOKUP(E554,Data_Cleaning!$B$6:$B$50,Data_Cleaning!$C$6:$C$50)</f>
        <v>Barcelona​</v>
      </c>
      <c r="G554" s="36" t="str" cm="1">
        <f t="array" ref="G554">_xlfn.XLOOKUP(TRUE,ISNUMBER(SEARCH(Data_Cleaning!$F$6:$F$36,C554)),Data_Cleaning!$G$6:$G$36,"Other",0)</f>
        <v>Double Degree</v>
      </c>
      <c r="H554" s="24" t="s">
        <v>795</v>
      </c>
      <c r="I554" s="12">
        <v>12714</v>
      </c>
      <c r="J554" s="12">
        <v>6625</v>
      </c>
      <c r="K554" s="12">
        <v>7010</v>
      </c>
      <c r="L554" s="12">
        <v>5000</v>
      </c>
    </row>
    <row r="555" spans="2:12" ht="15" customHeight="1">
      <c r="B555" s="10">
        <v>11059</v>
      </c>
      <c r="C555" s="22" t="s">
        <v>243</v>
      </c>
      <c r="D555" s="11" t="s">
        <v>16</v>
      </c>
      <c r="E555" s="25" t="s">
        <v>684</v>
      </c>
      <c r="F555" s="36" t="str">
        <f>+_xlfn.XLOOKUP(E555,Data_Cleaning!$B$6:$B$50,Data_Cleaning!$C$6:$C$50)</f>
        <v>Barcelona​</v>
      </c>
      <c r="G555" s="36" t="str" cm="1">
        <f t="array" ref="G555">_xlfn.XLOOKUP(TRUE,ISNUMBER(SEARCH(Data_Cleaning!$F$6:$F$36,C555)),Data_Cleaning!$G$6:$G$36,"Other",0)</f>
        <v>Engineering and Architecture</v>
      </c>
      <c r="H555" s="24" t="str">
        <f>+_xlfn.XLOOKUP(G555,Data_Cleaning!$J$6:$J$11,Data_Cleaning!$K$6:$K$11)</f>
        <v>Science and Technology</v>
      </c>
      <c r="I555" s="12">
        <v>12740</v>
      </c>
      <c r="J555" s="12">
        <v>5000</v>
      </c>
      <c r="K555" s="12">
        <v>6650</v>
      </c>
      <c r="L555" s="12">
        <v>5000</v>
      </c>
    </row>
    <row r="556" spans="2:12" ht="15" customHeight="1">
      <c r="B556" s="10">
        <v>11043</v>
      </c>
      <c r="C556" s="22" t="s">
        <v>491</v>
      </c>
      <c r="D556" s="11" t="s">
        <v>16</v>
      </c>
      <c r="E556" s="25" t="s">
        <v>684</v>
      </c>
      <c r="F556" s="36" t="str">
        <f>+_xlfn.XLOOKUP(E556,Data_Cleaning!$B$6:$B$50,Data_Cleaning!$C$6:$C$50)</f>
        <v>Barcelona​</v>
      </c>
      <c r="G556" s="36" t="str" cm="1">
        <f t="array" ref="G556">_xlfn.XLOOKUP(TRUE,ISNUMBER(SEARCH(Data_Cleaning!$F$6:$F$36,C556)),Data_Cleaning!$G$6:$G$36,"Other",0)</f>
        <v>Health Sciences</v>
      </c>
      <c r="H556" s="24" t="str">
        <f>+_xlfn.XLOOKUP(G556,Data_Cleaning!$J$6:$J$11,Data_Cleaning!$K$6:$K$11)</f>
        <v>Science and Technology</v>
      </c>
      <c r="I556" s="12">
        <v>12850</v>
      </c>
      <c r="J556" s="12">
        <v>7250</v>
      </c>
      <c r="K556" s="12">
        <v>9540</v>
      </c>
      <c r="L556" s="12">
        <v>5000</v>
      </c>
    </row>
    <row r="557" spans="2:12" ht="15" customHeight="1">
      <c r="B557" s="10">
        <v>11016</v>
      </c>
      <c r="C557" s="22" t="s">
        <v>328</v>
      </c>
      <c r="D557" s="11" t="s">
        <v>16</v>
      </c>
      <c r="E557" s="25" t="s">
        <v>684</v>
      </c>
      <c r="F557" s="36" t="str">
        <f>+_xlfn.XLOOKUP(E557,Data_Cleaning!$B$6:$B$50,Data_Cleaning!$C$6:$C$50)</f>
        <v>Barcelona​</v>
      </c>
      <c r="G557" s="36" t="str" cm="1">
        <f t="array" ref="G557">_xlfn.XLOOKUP(TRUE,ISNUMBER(SEARCH(Data_Cleaning!$F$6:$F$36,C557)),Data_Cleaning!$G$6:$G$36,"Other",0)</f>
        <v>Double Degree</v>
      </c>
      <c r="H557" s="24" t="s">
        <v>794</v>
      </c>
      <c r="I557" s="12">
        <v>12898</v>
      </c>
      <c r="J557" s="12">
        <v>5000</v>
      </c>
      <c r="K557" s="12">
        <v>7670</v>
      </c>
      <c r="L557" s="12">
        <v>5000</v>
      </c>
    </row>
    <row r="558" spans="2:12" ht="15" customHeight="1">
      <c r="B558" s="10">
        <v>31112</v>
      </c>
      <c r="C558" s="23" t="s">
        <v>655</v>
      </c>
      <c r="D558" s="11" t="s">
        <v>58</v>
      </c>
      <c r="E558" s="25" t="s">
        <v>706</v>
      </c>
      <c r="F558" s="36" t="str">
        <f>+_xlfn.XLOOKUP(E558,Data_Cleaning!$B$6:$B$50,Data_Cleaning!$C$6:$C$50)</f>
        <v>Barcelona​</v>
      </c>
      <c r="G558" s="36" t="str" cm="1">
        <f t="array" ref="G558">_xlfn.XLOOKUP(TRUE,ISNUMBER(SEARCH(Data_Cleaning!$F$6:$F$36,C558)),Data_Cleaning!$G$6:$G$36,"Other",0)</f>
        <v>Engineering and Architecture</v>
      </c>
      <c r="H558" s="24" t="str">
        <f>+_xlfn.XLOOKUP(G558,Data_Cleaning!$J$6:$J$11,Data_Cleaning!$K$6:$K$11)</f>
        <v>Science and Technology</v>
      </c>
      <c r="I558" s="12">
        <v>12936</v>
      </c>
      <c r="J558" s="12">
        <v>5000</v>
      </c>
      <c r="K558" s="12">
        <v>5000</v>
      </c>
      <c r="L558" s="12">
        <v>5000</v>
      </c>
    </row>
    <row r="559" spans="2:12" ht="15" customHeight="1">
      <c r="B559" s="10">
        <v>11020</v>
      </c>
      <c r="C559" s="22" t="s">
        <v>390</v>
      </c>
      <c r="D559" s="11" t="s">
        <v>16</v>
      </c>
      <c r="E559" s="25" t="s">
        <v>684</v>
      </c>
      <c r="F559" s="36" t="str">
        <f>+_xlfn.XLOOKUP(E559,Data_Cleaning!$B$6:$B$50,Data_Cleaning!$C$6:$C$50)</f>
        <v>Barcelona​</v>
      </c>
      <c r="G559" s="36" t="str" cm="1">
        <f t="array" ref="G559">_xlfn.XLOOKUP(TRUE,ISNUMBER(SEARCH(Data_Cleaning!$F$6:$F$36,C559)),Data_Cleaning!$G$6:$G$36,"Other",0)</f>
        <v>Double Degree</v>
      </c>
      <c r="H559" s="24" t="s">
        <v>794</v>
      </c>
      <c r="I559" s="12">
        <v>13170</v>
      </c>
      <c r="J559" s="12">
        <v>6375</v>
      </c>
      <c r="K559" s="12">
        <v>8290</v>
      </c>
      <c r="L559" s="12">
        <v>5000</v>
      </c>
    </row>
    <row r="560" spans="2:12" ht="15" customHeight="1">
      <c r="B560" s="10">
        <v>21169</v>
      </c>
      <c r="C560" s="22" t="s">
        <v>391</v>
      </c>
      <c r="D560" s="11" t="s">
        <v>20</v>
      </c>
      <c r="E560" s="25" t="s">
        <v>685</v>
      </c>
      <c r="F560" s="36" t="str">
        <f>+_xlfn.XLOOKUP(E560,Data_Cleaning!$B$6:$B$50,Data_Cleaning!$C$6:$C$50)</f>
        <v>Barcelona​</v>
      </c>
      <c r="G560" s="36" t="str" cm="1">
        <f t="array" ref="G560">_xlfn.XLOOKUP(TRUE,ISNUMBER(SEARCH(Data_Cleaning!$F$6:$F$36,C560)),Data_Cleaning!$G$6:$G$36,"Other",0)</f>
        <v>Double Degree</v>
      </c>
      <c r="H560" s="24" t="s">
        <v>794</v>
      </c>
      <c r="I560" s="12">
        <v>13370</v>
      </c>
      <c r="J560" s="12">
        <v>5000</v>
      </c>
      <c r="K560" s="12">
        <v>7200</v>
      </c>
      <c r="L560" s="12">
        <v>5000</v>
      </c>
    </row>
    <row r="561" spans="1:8">
      <c r="A561" s="20"/>
      <c r="E561" s="21" t="s">
        <v>596</v>
      </c>
      <c r="F561" s="37" t="s">
        <v>737</v>
      </c>
      <c r="G561" s="21" t="s">
        <v>596</v>
      </c>
    </row>
    <row r="562" spans="1:8">
      <c r="H562" s="21" t="s">
        <v>596</v>
      </c>
    </row>
  </sheetData>
  <autoFilter ref="B5:L560" xr:uid="{00000000-0001-0000-0000-000000000000}">
    <sortState xmlns:xlrd2="http://schemas.microsoft.com/office/spreadsheetml/2017/richdata2" ref="B6:L562">
      <sortCondition ref="I5:I562"/>
    </sortState>
  </autoFilter>
  <pageMargins left="0.7" right="0.7" top="0.75" bottom="0.75" header="0.3" footer="0.3"/>
  <headerFooter>
    <oddHeader>&amp;R&amp;"Aptos"&amp;12&amp;K000000 --- Internal ---&amp;1#_x000D_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9D61-486E-A74F-A8AD-697D6931DF07}">
  <dimension ref="B5:K50"/>
  <sheetViews>
    <sheetView workbookViewId="0">
      <selection activeCell="K12" sqref="K12"/>
    </sheetView>
  </sheetViews>
  <sheetFormatPr baseColWidth="10" defaultRowHeight="13"/>
  <cols>
    <col min="1" max="1" width="11" style="21"/>
    <col min="2" max="2" width="45.3984375" style="21" customWidth="1"/>
    <col min="3" max="5" width="11" style="21"/>
    <col min="6" max="7" width="30" style="21" customWidth="1"/>
    <col min="8" max="9" width="11" style="21"/>
    <col min="10" max="10" width="30.19921875" style="21" customWidth="1"/>
    <col min="11" max="11" width="27.796875" style="21" customWidth="1"/>
    <col min="12" max="16384" width="11" style="21"/>
  </cols>
  <sheetData>
    <row r="5" spans="2:11">
      <c r="B5" s="38" t="s">
        <v>735</v>
      </c>
      <c r="C5" s="38" t="s">
        <v>730</v>
      </c>
      <c r="F5" s="38" t="s">
        <v>751</v>
      </c>
      <c r="G5" s="38" t="s">
        <v>746</v>
      </c>
      <c r="J5" s="38" t="s">
        <v>792</v>
      </c>
      <c r="K5" s="38" t="s">
        <v>792</v>
      </c>
    </row>
    <row r="6" spans="2:11">
      <c r="B6" s="21" t="s">
        <v>683</v>
      </c>
      <c r="C6" s="21" t="s">
        <v>731</v>
      </c>
      <c r="F6" s="41" t="s">
        <v>789</v>
      </c>
      <c r="G6" s="41" t="s">
        <v>790</v>
      </c>
      <c r="J6" s="21" t="s">
        <v>790</v>
      </c>
      <c r="K6" s="21" t="s">
        <v>796</v>
      </c>
    </row>
    <row r="7" spans="2:11">
      <c r="B7" s="21" t="s">
        <v>684</v>
      </c>
      <c r="C7" s="21" t="s">
        <v>731</v>
      </c>
      <c r="F7" s="41" t="s">
        <v>791</v>
      </c>
      <c r="G7" s="41" t="s">
        <v>762</v>
      </c>
      <c r="J7" s="21" t="s">
        <v>762</v>
      </c>
      <c r="K7" s="41" t="s">
        <v>795</v>
      </c>
    </row>
    <row r="8" spans="2:11">
      <c r="B8" s="21" t="s">
        <v>685</v>
      </c>
      <c r="C8" s="21" t="s">
        <v>731</v>
      </c>
      <c r="F8" s="41" t="s">
        <v>752</v>
      </c>
      <c r="G8" s="41" t="s">
        <v>753</v>
      </c>
      <c r="J8" s="21" t="s">
        <v>753</v>
      </c>
      <c r="K8" s="21" t="s">
        <v>794</v>
      </c>
    </row>
    <row r="9" spans="2:11">
      <c r="B9" s="21" t="s">
        <v>686</v>
      </c>
      <c r="C9" s="21" t="s">
        <v>732</v>
      </c>
      <c r="F9" s="41" t="s">
        <v>754</v>
      </c>
      <c r="G9" s="41" t="s">
        <v>753</v>
      </c>
      <c r="J9" s="21" t="s">
        <v>756</v>
      </c>
      <c r="K9" s="21" t="s">
        <v>794</v>
      </c>
    </row>
    <row r="10" spans="2:11">
      <c r="B10" s="21" t="s">
        <v>687</v>
      </c>
      <c r="C10" s="21" t="s">
        <v>731</v>
      </c>
      <c r="F10" s="41" t="s">
        <v>755</v>
      </c>
      <c r="G10" s="41" t="s">
        <v>756</v>
      </c>
      <c r="J10" s="21" t="s">
        <v>768</v>
      </c>
      <c r="K10" s="21" t="s">
        <v>794</v>
      </c>
    </row>
    <row r="11" spans="2:11">
      <c r="B11" s="21" t="s">
        <v>688</v>
      </c>
      <c r="C11" s="21" t="s">
        <v>733</v>
      </c>
      <c r="F11" s="41" t="s">
        <v>757</v>
      </c>
      <c r="G11" s="41" t="s">
        <v>756</v>
      </c>
      <c r="J11" s="21" t="s">
        <v>775</v>
      </c>
      <c r="K11" s="21" t="s">
        <v>775</v>
      </c>
    </row>
    <row r="12" spans="2:11">
      <c r="B12" s="21" t="s">
        <v>689</v>
      </c>
      <c r="C12" s="21" t="s">
        <v>731</v>
      </c>
      <c r="F12" s="41" t="s">
        <v>758</v>
      </c>
      <c r="G12" s="41" t="s">
        <v>756</v>
      </c>
    </row>
    <row r="13" spans="2:11">
      <c r="B13" s="21" t="s">
        <v>690</v>
      </c>
      <c r="C13" s="21" t="s">
        <v>734</v>
      </c>
      <c r="F13" s="41" t="s">
        <v>759</v>
      </c>
      <c r="G13" s="41" t="s">
        <v>756</v>
      </c>
    </row>
    <row r="14" spans="2:11">
      <c r="B14" s="21" t="s">
        <v>691</v>
      </c>
      <c r="C14" s="21" t="s">
        <v>734</v>
      </c>
      <c r="F14" s="41" t="s">
        <v>760</v>
      </c>
      <c r="G14" s="41" t="s">
        <v>756</v>
      </c>
    </row>
    <row r="15" spans="2:11">
      <c r="B15" s="21" t="s">
        <v>692</v>
      </c>
      <c r="C15" s="21" t="s">
        <v>731</v>
      </c>
      <c r="F15" s="41" t="s">
        <v>761</v>
      </c>
      <c r="G15" s="41" t="s">
        <v>762</v>
      </c>
    </row>
    <row r="16" spans="2:11">
      <c r="B16" s="21" t="s">
        <v>693</v>
      </c>
      <c r="C16" s="21" t="s">
        <v>734</v>
      </c>
      <c r="F16" s="41" t="s">
        <v>763</v>
      </c>
      <c r="G16" s="41" t="s">
        <v>762</v>
      </c>
    </row>
    <row r="17" spans="2:7">
      <c r="B17" s="21" t="s">
        <v>694</v>
      </c>
      <c r="C17" s="21" t="s">
        <v>734</v>
      </c>
      <c r="F17" s="41" t="s">
        <v>764</v>
      </c>
      <c r="G17" s="41" t="s">
        <v>762</v>
      </c>
    </row>
    <row r="18" spans="2:7">
      <c r="B18" s="21" t="s">
        <v>695</v>
      </c>
      <c r="C18" s="21" t="s">
        <v>734</v>
      </c>
      <c r="F18" s="41" t="s">
        <v>765</v>
      </c>
      <c r="G18" s="41" t="s">
        <v>762</v>
      </c>
    </row>
    <row r="19" spans="2:7">
      <c r="B19" s="21" t="s">
        <v>696</v>
      </c>
      <c r="C19" s="21" t="s">
        <v>734</v>
      </c>
      <c r="F19" s="41" t="s">
        <v>766</v>
      </c>
      <c r="G19" s="41" t="s">
        <v>762</v>
      </c>
    </row>
    <row r="20" spans="2:7">
      <c r="B20" s="21" t="s">
        <v>697</v>
      </c>
      <c r="C20" s="21" t="s">
        <v>731</v>
      </c>
      <c r="F20" s="41" t="s">
        <v>767</v>
      </c>
      <c r="G20" s="41" t="s">
        <v>768</v>
      </c>
    </row>
    <row r="21" spans="2:7">
      <c r="B21" s="21" t="s">
        <v>698</v>
      </c>
      <c r="C21" s="21" t="s">
        <v>732</v>
      </c>
      <c r="F21" s="41" t="s">
        <v>769</v>
      </c>
      <c r="G21" s="41" t="s">
        <v>768</v>
      </c>
    </row>
    <row r="22" spans="2:7">
      <c r="B22" s="21" t="s">
        <v>699</v>
      </c>
      <c r="C22" s="21" t="s">
        <v>731</v>
      </c>
      <c r="F22" s="41" t="s">
        <v>770</v>
      </c>
      <c r="G22" s="41" t="s">
        <v>768</v>
      </c>
    </row>
    <row r="23" spans="2:7">
      <c r="B23" s="21" t="s">
        <v>700</v>
      </c>
      <c r="C23" s="21" t="s">
        <v>731</v>
      </c>
      <c r="F23" s="41" t="s">
        <v>771</v>
      </c>
      <c r="G23" s="41" t="s">
        <v>768</v>
      </c>
    </row>
    <row r="24" spans="2:7">
      <c r="B24" s="21" t="s">
        <v>701</v>
      </c>
      <c r="C24" s="21" t="s">
        <v>731</v>
      </c>
      <c r="F24" s="41" t="s">
        <v>772</v>
      </c>
      <c r="G24" s="41" t="s">
        <v>768</v>
      </c>
    </row>
    <row r="25" spans="2:7">
      <c r="B25" s="21" t="s">
        <v>702</v>
      </c>
      <c r="C25" s="21" t="s">
        <v>734</v>
      </c>
      <c r="F25" s="41" t="s">
        <v>773</v>
      </c>
      <c r="G25" s="41" t="s">
        <v>768</v>
      </c>
    </row>
    <row r="26" spans="2:7">
      <c r="B26" s="21" t="s">
        <v>703</v>
      </c>
      <c r="C26" s="21" t="s">
        <v>733</v>
      </c>
      <c r="F26" s="41" t="s">
        <v>774</v>
      </c>
      <c r="G26" s="41" t="s">
        <v>775</v>
      </c>
    </row>
    <row r="27" spans="2:7">
      <c r="B27" s="21" t="s">
        <v>704</v>
      </c>
      <c r="C27" s="21" t="s">
        <v>734</v>
      </c>
      <c r="F27" s="41" t="s">
        <v>776</v>
      </c>
      <c r="G27" s="41" t="s">
        <v>775</v>
      </c>
    </row>
    <row r="28" spans="2:7">
      <c r="B28" s="21" t="s">
        <v>705</v>
      </c>
      <c r="C28" s="21" t="s">
        <v>731</v>
      </c>
      <c r="F28" s="41" t="s">
        <v>777</v>
      </c>
      <c r="G28" s="41" t="s">
        <v>775</v>
      </c>
    </row>
    <row r="29" spans="2:7">
      <c r="B29" s="21" t="s">
        <v>706</v>
      </c>
      <c r="C29" s="21" t="s">
        <v>731</v>
      </c>
      <c r="F29" s="41" t="s">
        <v>778</v>
      </c>
      <c r="G29" s="41" t="s">
        <v>775</v>
      </c>
    </row>
    <row r="30" spans="2:7">
      <c r="B30" s="21" t="s">
        <v>707</v>
      </c>
      <c r="C30" s="21" t="s">
        <v>731</v>
      </c>
      <c r="F30" s="41" t="s">
        <v>779</v>
      </c>
      <c r="G30" s="41" t="s">
        <v>762</v>
      </c>
    </row>
    <row r="31" spans="2:7">
      <c r="B31" s="21" t="s">
        <v>708</v>
      </c>
      <c r="C31" s="21" t="s">
        <v>731</v>
      </c>
      <c r="F31" s="41" t="s">
        <v>780</v>
      </c>
      <c r="G31" s="41" t="s">
        <v>762</v>
      </c>
    </row>
    <row r="32" spans="2:7">
      <c r="B32" s="21" t="s">
        <v>709</v>
      </c>
      <c r="C32" s="21" t="s">
        <v>731</v>
      </c>
      <c r="F32" s="41" t="s">
        <v>781</v>
      </c>
      <c r="G32" s="41" t="s">
        <v>762</v>
      </c>
    </row>
    <row r="33" spans="2:7">
      <c r="B33" s="21" t="s">
        <v>710</v>
      </c>
      <c r="C33" s="21" t="s">
        <v>731</v>
      </c>
      <c r="F33" s="41" t="s">
        <v>782</v>
      </c>
      <c r="G33" s="41" t="s">
        <v>762</v>
      </c>
    </row>
    <row r="34" spans="2:7">
      <c r="B34" s="21" t="s">
        <v>728</v>
      </c>
      <c r="C34" s="21" t="s">
        <v>734</v>
      </c>
      <c r="F34" s="41" t="s">
        <v>783</v>
      </c>
      <c r="G34" s="41" t="s">
        <v>762</v>
      </c>
    </row>
    <row r="35" spans="2:7">
      <c r="B35" s="21" t="s">
        <v>711</v>
      </c>
      <c r="C35" s="21" t="s">
        <v>731</v>
      </c>
      <c r="F35" s="41" t="s">
        <v>784</v>
      </c>
      <c r="G35" s="41" t="s">
        <v>768</v>
      </c>
    </row>
    <row r="36" spans="2:7">
      <c r="B36" s="21" t="s">
        <v>712</v>
      </c>
      <c r="C36" s="21" t="s">
        <v>731</v>
      </c>
      <c r="F36" s="41" t="s">
        <v>785</v>
      </c>
      <c r="G36" s="41" t="s">
        <v>762</v>
      </c>
    </row>
    <row r="37" spans="2:7">
      <c r="B37" s="21" t="s">
        <v>713</v>
      </c>
      <c r="C37" s="21" t="s">
        <v>731</v>
      </c>
      <c r="F37" s="41" t="s">
        <v>786</v>
      </c>
      <c r="G37" s="41" t="s">
        <v>775</v>
      </c>
    </row>
    <row r="38" spans="2:7">
      <c r="B38" s="21" t="s">
        <v>714</v>
      </c>
      <c r="C38" s="21" t="s">
        <v>731</v>
      </c>
      <c r="F38" s="41" t="s">
        <v>787</v>
      </c>
      <c r="G38" s="41" t="s">
        <v>775</v>
      </c>
    </row>
    <row r="39" spans="2:7">
      <c r="B39" s="21" t="s">
        <v>715</v>
      </c>
      <c r="C39" s="21" t="s">
        <v>731</v>
      </c>
    </row>
    <row r="40" spans="2:7">
      <c r="B40" s="21" t="s">
        <v>716</v>
      </c>
      <c r="C40" s="21" t="s">
        <v>731</v>
      </c>
      <c r="F40" s="41"/>
      <c r="G40" s="41"/>
    </row>
    <row r="41" spans="2:7">
      <c r="B41" s="21" t="s">
        <v>717</v>
      </c>
      <c r="C41" s="21" t="s">
        <v>731</v>
      </c>
    </row>
    <row r="42" spans="2:7">
      <c r="B42" s="21" t="s">
        <v>718</v>
      </c>
      <c r="C42" s="21" t="s">
        <v>731</v>
      </c>
    </row>
    <row r="43" spans="2:7">
      <c r="B43" s="21" t="s">
        <v>719</v>
      </c>
      <c r="C43" s="21" t="s">
        <v>734</v>
      </c>
    </row>
    <row r="44" spans="2:7">
      <c r="B44" s="21" t="s">
        <v>720</v>
      </c>
      <c r="C44" s="21" t="s">
        <v>731</v>
      </c>
    </row>
    <row r="45" spans="2:7">
      <c r="B45" s="21" t="s">
        <v>721</v>
      </c>
      <c r="C45" s="21" t="s">
        <v>733</v>
      </c>
    </row>
    <row r="46" spans="2:7">
      <c r="B46" s="21" t="s">
        <v>722</v>
      </c>
      <c r="C46" s="21" t="s">
        <v>731</v>
      </c>
    </row>
    <row r="47" spans="2:7">
      <c r="B47" s="21" t="s">
        <v>723</v>
      </c>
      <c r="C47" s="21" t="s">
        <v>732</v>
      </c>
    </row>
    <row r="48" spans="2:7">
      <c r="B48" s="21" t="s">
        <v>724</v>
      </c>
      <c r="C48" s="21" t="s">
        <v>731</v>
      </c>
    </row>
    <row r="49" spans="2:3">
      <c r="B49" s="21" t="s">
        <v>725</v>
      </c>
      <c r="C49" s="21" t="s">
        <v>731</v>
      </c>
    </row>
    <row r="50" spans="2:3">
      <c r="B50" s="21" t="s">
        <v>726</v>
      </c>
      <c r="C50" s="21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91B7-223A-C943-80E8-94B052AFEAF4}">
  <sheetPr>
    <tabColor rgb="FF002060"/>
  </sheetPr>
  <dimension ref="A3:Y4"/>
  <sheetViews>
    <sheetView zoomScale="101" workbookViewId="0"/>
  </sheetViews>
  <sheetFormatPr baseColWidth="10" defaultRowHeight="13"/>
  <cols>
    <col min="1" max="1" width="3.59765625" style="29" customWidth="1"/>
    <col min="2" max="16384" width="11" style="29"/>
  </cols>
  <sheetData>
    <row r="3" spans="1:25" ht="37">
      <c r="B3" s="31" t="s">
        <v>736</v>
      </c>
    </row>
    <row r="4" spans="1:25" ht="9" customHeight="1">
      <c r="A4" s="30" t="s">
        <v>729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D4EE-25D7-9E44-A0C6-113D385DFF53}">
  <sheetPr>
    <tabColor theme="0"/>
  </sheetPr>
  <dimension ref="A1:P587"/>
  <sheetViews>
    <sheetView zoomScale="106" workbookViewId="0">
      <selection activeCell="K8" sqref="K8:L8"/>
    </sheetView>
  </sheetViews>
  <sheetFormatPr baseColWidth="10" defaultColWidth="9" defaultRowHeight="13"/>
  <cols>
    <col min="1" max="1" width="8" customWidth="1"/>
    <col min="2" max="2" width="1.19921875" customWidth="1"/>
    <col min="3" max="3" width="6.796875" customWidth="1"/>
    <col min="4" max="4" width="33.796875" customWidth="1"/>
    <col min="5" max="5" width="43.19921875" customWidth="1"/>
    <col min="6" max="8" width="6.796875" customWidth="1"/>
    <col min="9" max="9" width="9.3984375" customWidth="1"/>
    <col min="10" max="10" width="6.796875" customWidth="1"/>
    <col min="11" max="11" width="9.3984375" customWidth="1"/>
    <col min="12" max="12" width="6.796875" customWidth="1"/>
    <col min="13" max="13" width="9.3984375" customWidth="1"/>
    <col min="14" max="14" width="6.796875" customWidth="1"/>
    <col min="15" max="15" width="9.3984375" customWidth="1"/>
    <col min="16" max="16" width="6.796875" customWidth="1"/>
  </cols>
  <sheetData>
    <row r="1" spans="1:16" ht="51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20" customHeight="1">
      <c r="A2" s="1"/>
      <c r="B2" s="143" t="s">
        <v>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5"/>
    </row>
    <row r="3" spans="1:16" ht="18" customHeight="1">
      <c r="A3" s="2"/>
      <c r="B3" s="143" t="s">
        <v>1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5"/>
    </row>
    <row r="4" spans="1:16" ht="24" customHeight="1">
      <c r="A4" s="1"/>
      <c r="B4" s="146" t="s">
        <v>2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8"/>
    </row>
    <row r="5" spans="1:16" ht="29" customHeight="1">
      <c r="A5" s="1"/>
      <c r="B5" s="141" t="s">
        <v>3</v>
      </c>
      <c r="C5" s="142"/>
      <c r="D5" s="149" t="s">
        <v>4</v>
      </c>
      <c r="E5" s="89"/>
      <c r="F5" s="150"/>
      <c r="G5" s="141" t="s">
        <v>5</v>
      </c>
      <c r="H5" s="142"/>
      <c r="I5" s="151" t="s">
        <v>6</v>
      </c>
      <c r="J5" s="152"/>
      <c r="K5" s="141" t="s">
        <v>7</v>
      </c>
      <c r="L5" s="142"/>
      <c r="M5" s="141" t="s">
        <v>8</v>
      </c>
      <c r="N5" s="142"/>
      <c r="O5" s="141" t="s">
        <v>9</v>
      </c>
      <c r="P5" s="142"/>
    </row>
    <row r="6" spans="1:16" ht="14.25" customHeight="1">
      <c r="A6" s="2"/>
      <c r="B6" s="46">
        <v>41029</v>
      </c>
      <c r="C6" s="47"/>
      <c r="D6" s="48" t="s">
        <v>10</v>
      </c>
      <c r="E6" s="49"/>
      <c r="F6" s="50"/>
      <c r="G6" s="51" t="s">
        <v>11</v>
      </c>
      <c r="H6" s="52"/>
      <c r="I6" s="44">
        <v>7688</v>
      </c>
      <c r="J6" s="45"/>
      <c r="K6" s="44">
        <v>5000</v>
      </c>
      <c r="L6" s="45"/>
      <c r="M6" s="44">
        <v>5000</v>
      </c>
      <c r="N6" s="45"/>
      <c r="O6" s="44">
        <v>5000</v>
      </c>
      <c r="P6" s="45"/>
    </row>
    <row r="7" spans="1:16" ht="28.5" customHeight="1">
      <c r="A7" s="1"/>
      <c r="B7" s="46">
        <v>41036</v>
      </c>
      <c r="C7" s="47"/>
      <c r="D7" s="53" t="s">
        <v>12</v>
      </c>
      <c r="E7" s="54"/>
      <c r="F7" s="55"/>
      <c r="G7" s="51" t="s">
        <v>11</v>
      </c>
      <c r="H7" s="52"/>
      <c r="I7" s="44">
        <v>7628</v>
      </c>
      <c r="J7" s="45"/>
      <c r="K7" s="44">
        <v>5000</v>
      </c>
      <c r="L7" s="45"/>
      <c r="M7" s="44">
        <v>5000</v>
      </c>
      <c r="N7" s="45"/>
      <c r="O7" s="44">
        <v>5000</v>
      </c>
      <c r="P7" s="45"/>
    </row>
    <row r="8" spans="1:16" ht="28.5" customHeight="1">
      <c r="A8" s="1"/>
      <c r="B8" s="46">
        <v>41041</v>
      </c>
      <c r="C8" s="47"/>
      <c r="D8" s="53" t="s">
        <v>13</v>
      </c>
      <c r="E8" s="54"/>
      <c r="F8" s="55"/>
      <c r="G8" s="51" t="s">
        <v>11</v>
      </c>
      <c r="H8" s="52"/>
      <c r="I8" s="44">
        <v>7546</v>
      </c>
      <c r="J8" s="45"/>
      <c r="K8" s="44">
        <v>5000</v>
      </c>
      <c r="L8" s="45"/>
      <c r="M8" s="44">
        <v>5000</v>
      </c>
      <c r="N8" s="45"/>
      <c r="O8" s="44">
        <v>5000</v>
      </c>
      <c r="P8" s="45"/>
    </row>
    <row r="9" spans="1:16" ht="28.5" customHeight="1">
      <c r="A9" s="1"/>
      <c r="B9" s="46">
        <v>41035</v>
      </c>
      <c r="C9" s="47"/>
      <c r="D9" s="53" t="s">
        <v>14</v>
      </c>
      <c r="E9" s="54"/>
      <c r="F9" s="55"/>
      <c r="G9" s="51" t="s">
        <v>11</v>
      </c>
      <c r="H9" s="52"/>
      <c r="I9" s="44">
        <v>5000</v>
      </c>
      <c r="J9" s="45"/>
      <c r="K9" s="44">
        <v>5000</v>
      </c>
      <c r="L9" s="45"/>
      <c r="M9" s="44">
        <v>5000</v>
      </c>
      <c r="N9" s="45"/>
      <c r="O9" s="44">
        <v>5000</v>
      </c>
      <c r="P9" s="45"/>
    </row>
    <row r="10" spans="1:16" ht="14.25" customHeight="1">
      <c r="A10" s="2"/>
      <c r="B10" s="46">
        <v>11033</v>
      </c>
      <c r="C10" s="47"/>
      <c r="D10" s="48" t="s">
        <v>15</v>
      </c>
      <c r="E10" s="49"/>
      <c r="F10" s="50"/>
      <c r="G10" s="51" t="s">
        <v>16</v>
      </c>
      <c r="H10" s="52"/>
      <c r="I10" s="44">
        <v>9348</v>
      </c>
      <c r="J10" s="45"/>
      <c r="K10" s="44">
        <v>5000</v>
      </c>
      <c r="L10" s="45"/>
      <c r="M10" s="44">
        <v>5000</v>
      </c>
      <c r="N10" s="45"/>
      <c r="O10" s="44">
        <v>5000</v>
      </c>
      <c r="P10" s="45"/>
    </row>
    <row r="11" spans="1:16" ht="14.25" customHeight="1">
      <c r="A11" s="2"/>
      <c r="B11" s="46">
        <v>41008</v>
      </c>
      <c r="C11" s="47"/>
      <c r="D11" s="48" t="s">
        <v>15</v>
      </c>
      <c r="E11" s="49"/>
      <c r="F11" s="50"/>
      <c r="G11" s="51" t="s">
        <v>11</v>
      </c>
      <c r="H11" s="52"/>
      <c r="I11" s="44">
        <v>10966</v>
      </c>
      <c r="J11" s="45"/>
      <c r="K11" s="44">
        <v>5000</v>
      </c>
      <c r="L11" s="45"/>
      <c r="M11" s="44">
        <v>5000</v>
      </c>
      <c r="N11" s="45"/>
      <c r="O11" s="44">
        <v>5000</v>
      </c>
      <c r="P11" s="45"/>
    </row>
    <row r="12" spans="1:16" ht="14.25" customHeight="1">
      <c r="A12" s="2"/>
      <c r="B12" s="46">
        <v>71063</v>
      </c>
      <c r="C12" s="47"/>
      <c r="D12" s="48" t="s">
        <v>17</v>
      </c>
      <c r="E12" s="49"/>
      <c r="F12" s="50"/>
      <c r="G12" s="51" t="s">
        <v>18</v>
      </c>
      <c r="H12" s="52"/>
      <c r="I12" s="44">
        <v>5000</v>
      </c>
      <c r="J12" s="45"/>
      <c r="K12" s="44">
        <v>5000</v>
      </c>
      <c r="L12" s="45"/>
      <c r="M12" s="44">
        <v>5000</v>
      </c>
      <c r="N12" s="45"/>
      <c r="O12" s="44">
        <v>5000</v>
      </c>
      <c r="P12" s="45"/>
    </row>
    <row r="13" spans="1:16" ht="14.25" customHeight="1">
      <c r="A13" s="2"/>
      <c r="B13" s="46">
        <v>21014</v>
      </c>
      <c r="C13" s="47"/>
      <c r="D13" s="48" t="s">
        <v>19</v>
      </c>
      <c r="E13" s="49"/>
      <c r="F13" s="50"/>
      <c r="G13" s="51" t="s">
        <v>20</v>
      </c>
      <c r="H13" s="52"/>
      <c r="I13" s="44">
        <v>9804</v>
      </c>
      <c r="J13" s="45"/>
      <c r="K13" s="44">
        <v>5000</v>
      </c>
      <c r="L13" s="45"/>
      <c r="M13" s="44">
        <v>5000</v>
      </c>
      <c r="N13" s="45"/>
      <c r="O13" s="44">
        <v>5000</v>
      </c>
      <c r="P13" s="45"/>
    </row>
    <row r="14" spans="1:16" ht="28.5" customHeight="1">
      <c r="A14" s="1"/>
      <c r="B14" s="46">
        <v>21099</v>
      </c>
      <c r="C14" s="47"/>
      <c r="D14" s="53" t="s">
        <v>21</v>
      </c>
      <c r="E14" s="54"/>
      <c r="F14" s="55"/>
      <c r="G14" s="51" t="s">
        <v>20</v>
      </c>
      <c r="H14" s="52"/>
      <c r="I14" s="44">
        <v>10128</v>
      </c>
      <c r="J14" s="45"/>
      <c r="K14" s="44">
        <v>5000</v>
      </c>
      <c r="L14" s="45"/>
      <c r="M14" s="44">
        <v>5000</v>
      </c>
      <c r="N14" s="45"/>
      <c r="O14" s="44">
        <v>5000</v>
      </c>
      <c r="P14" s="45"/>
    </row>
    <row r="15" spans="1:16" ht="14.25" customHeight="1">
      <c r="A15" s="2"/>
      <c r="B15" s="46">
        <v>81003</v>
      </c>
      <c r="C15" s="47"/>
      <c r="D15" s="48" t="s">
        <v>22</v>
      </c>
      <c r="E15" s="49"/>
      <c r="F15" s="50"/>
      <c r="G15" s="51" t="s">
        <v>23</v>
      </c>
      <c r="H15" s="52"/>
      <c r="I15" s="44">
        <v>9218</v>
      </c>
      <c r="J15" s="45"/>
      <c r="K15" s="44">
        <v>5000</v>
      </c>
      <c r="L15" s="45"/>
      <c r="M15" s="44">
        <v>5000</v>
      </c>
      <c r="N15" s="45"/>
      <c r="O15" s="44">
        <v>6333</v>
      </c>
      <c r="P15" s="45"/>
    </row>
    <row r="16" spans="1:16" ht="14.25" customHeight="1">
      <c r="A16" s="2"/>
      <c r="B16" s="46">
        <v>61069</v>
      </c>
      <c r="C16" s="47"/>
      <c r="D16" s="48" t="s">
        <v>24</v>
      </c>
      <c r="E16" s="49"/>
      <c r="F16" s="50"/>
      <c r="G16" s="51" t="s">
        <v>25</v>
      </c>
      <c r="H16" s="52"/>
      <c r="I16" s="44">
        <v>8224</v>
      </c>
      <c r="J16" s="45"/>
      <c r="K16" s="44">
        <v>5000</v>
      </c>
      <c r="L16" s="45"/>
      <c r="M16" s="44">
        <v>5000</v>
      </c>
      <c r="N16" s="45"/>
      <c r="O16" s="44">
        <v>5000</v>
      </c>
      <c r="P16" s="45"/>
    </row>
    <row r="17" spans="1:16" ht="14.25" customHeight="1">
      <c r="A17" s="2"/>
      <c r="B17" s="46">
        <v>61003</v>
      </c>
      <c r="C17" s="47"/>
      <c r="D17" s="48" t="s">
        <v>26</v>
      </c>
      <c r="E17" s="49"/>
      <c r="F17" s="50"/>
      <c r="G17" s="51" t="s">
        <v>25</v>
      </c>
      <c r="H17" s="52"/>
      <c r="I17" s="44">
        <v>7764</v>
      </c>
      <c r="J17" s="45"/>
      <c r="K17" s="44">
        <v>5000</v>
      </c>
      <c r="L17" s="45"/>
      <c r="M17" s="44">
        <v>5000</v>
      </c>
      <c r="N17" s="45"/>
      <c r="O17" s="44">
        <v>5000</v>
      </c>
      <c r="P17" s="45"/>
    </row>
    <row r="18" spans="1:16" ht="14.25" customHeight="1">
      <c r="A18" s="2"/>
      <c r="B18" s="46">
        <v>91042</v>
      </c>
      <c r="C18" s="47"/>
      <c r="D18" s="48" t="s">
        <v>27</v>
      </c>
      <c r="E18" s="49"/>
      <c r="F18" s="50"/>
      <c r="G18" s="51" t="s">
        <v>28</v>
      </c>
      <c r="H18" s="52"/>
      <c r="I18" s="44">
        <v>5716</v>
      </c>
      <c r="J18" s="45"/>
      <c r="K18" s="44">
        <v>5000</v>
      </c>
      <c r="L18" s="45"/>
      <c r="M18" s="44">
        <v>5000</v>
      </c>
      <c r="N18" s="45"/>
      <c r="O18" s="44">
        <v>5000</v>
      </c>
      <c r="P18" s="45"/>
    </row>
    <row r="19" spans="1:16" ht="14.25" customHeight="1">
      <c r="A19" s="2"/>
      <c r="B19" s="46">
        <v>71002</v>
      </c>
      <c r="C19" s="47"/>
      <c r="D19" s="48" t="s">
        <v>29</v>
      </c>
      <c r="E19" s="49"/>
      <c r="F19" s="50"/>
      <c r="G19" s="51" t="s">
        <v>18</v>
      </c>
      <c r="H19" s="52"/>
      <c r="I19" s="44">
        <v>8413</v>
      </c>
      <c r="J19" s="45"/>
      <c r="K19" s="44">
        <v>5000</v>
      </c>
      <c r="L19" s="45"/>
      <c r="M19" s="44">
        <v>5000</v>
      </c>
      <c r="N19" s="45"/>
      <c r="O19" s="44">
        <v>5000</v>
      </c>
      <c r="P19" s="45"/>
    </row>
    <row r="20" spans="1:16" ht="14.25" customHeight="1">
      <c r="A20" s="2"/>
      <c r="B20" s="46">
        <v>71004</v>
      </c>
      <c r="C20" s="47"/>
      <c r="D20" s="48" t="s">
        <v>30</v>
      </c>
      <c r="E20" s="49"/>
      <c r="F20" s="50"/>
      <c r="G20" s="51" t="s">
        <v>18</v>
      </c>
      <c r="H20" s="52"/>
      <c r="I20" s="44">
        <v>7220</v>
      </c>
      <c r="J20" s="45"/>
      <c r="K20" s="44">
        <v>5000</v>
      </c>
      <c r="L20" s="45"/>
      <c r="M20" s="44">
        <v>5000</v>
      </c>
      <c r="N20" s="45"/>
      <c r="O20" s="44">
        <v>5000</v>
      </c>
      <c r="P20" s="45"/>
    </row>
    <row r="21" spans="1:16" ht="14.25" customHeight="1">
      <c r="A21" s="2"/>
      <c r="B21" s="46">
        <v>91003</v>
      </c>
      <c r="C21" s="47"/>
      <c r="D21" s="48" t="s">
        <v>31</v>
      </c>
      <c r="E21" s="49"/>
      <c r="F21" s="50"/>
      <c r="G21" s="51" t="s">
        <v>28</v>
      </c>
      <c r="H21" s="52"/>
      <c r="I21" s="44">
        <v>6420</v>
      </c>
      <c r="J21" s="45"/>
      <c r="K21" s="44">
        <v>5000</v>
      </c>
      <c r="L21" s="45"/>
      <c r="M21" s="44">
        <v>5000</v>
      </c>
      <c r="N21" s="45"/>
      <c r="O21" s="44">
        <v>5000</v>
      </c>
      <c r="P21" s="45"/>
    </row>
    <row r="22" spans="1:16" ht="14.25" customHeight="1">
      <c r="A22" s="2"/>
      <c r="B22" s="46">
        <v>11064</v>
      </c>
      <c r="C22" s="47"/>
      <c r="D22" s="48" t="s">
        <v>32</v>
      </c>
      <c r="E22" s="49"/>
      <c r="F22" s="50"/>
      <c r="G22" s="51" t="s">
        <v>16</v>
      </c>
      <c r="H22" s="52"/>
      <c r="I22" s="44">
        <v>10692</v>
      </c>
      <c r="J22" s="45"/>
      <c r="K22" s="44">
        <v>5000</v>
      </c>
      <c r="L22" s="45"/>
      <c r="M22" s="44">
        <v>6860</v>
      </c>
      <c r="N22" s="45"/>
      <c r="O22" s="44">
        <v>5000</v>
      </c>
      <c r="P22" s="45"/>
    </row>
    <row r="23" spans="1:16" ht="14.25" customHeight="1">
      <c r="A23" s="2"/>
      <c r="B23" s="46">
        <v>21098</v>
      </c>
      <c r="C23" s="47"/>
      <c r="D23" s="48" t="s">
        <v>33</v>
      </c>
      <c r="E23" s="49"/>
      <c r="F23" s="50"/>
      <c r="G23" s="51" t="s">
        <v>20</v>
      </c>
      <c r="H23" s="52"/>
      <c r="I23" s="44">
        <v>10082</v>
      </c>
      <c r="J23" s="45"/>
      <c r="K23" s="44">
        <v>5000</v>
      </c>
      <c r="L23" s="45"/>
      <c r="M23" s="44">
        <v>5000</v>
      </c>
      <c r="N23" s="45"/>
      <c r="O23" s="44">
        <v>5000</v>
      </c>
      <c r="P23" s="45"/>
    </row>
    <row r="24" spans="1:16" ht="14.25" customHeight="1">
      <c r="A24" s="2"/>
      <c r="B24" s="46">
        <v>81053</v>
      </c>
      <c r="C24" s="47"/>
      <c r="D24" s="48" t="s">
        <v>34</v>
      </c>
      <c r="E24" s="49"/>
      <c r="F24" s="50"/>
      <c r="G24" s="51" t="s">
        <v>23</v>
      </c>
      <c r="H24" s="52"/>
      <c r="I24" s="44">
        <v>9838</v>
      </c>
      <c r="J24" s="45"/>
      <c r="K24" s="44">
        <v>5000</v>
      </c>
      <c r="L24" s="45"/>
      <c r="M24" s="44">
        <v>5000</v>
      </c>
      <c r="N24" s="45"/>
      <c r="O24" s="44">
        <v>5000</v>
      </c>
      <c r="P24" s="45"/>
    </row>
    <row r="25" spans="1:16" ht="14.25" customHeight="1">
      <c r="A25" s="2"/>
      <c r="B25" s="46">
        <v>61035</v>
      </c>
      <c r="C25" s="47"/>
      <c r="D25" s="48" t="s">
        <v>35</v>
      </c>
      <c r="E25" s="49"/>
      <c r="F25" s="50"/>
      <c r="G25" s="51" t="s">
        <v>25</v>
      </c>
      <c r="H25" s="52"/>
      <c r="I25" s="44">
        <v>10138</v>
      </c>
      <c r="J25" s="45"/>
      <c r="K25" s="44">
        <v>5313</v>
      </c>
      <c r="L25" s="45"/>
      <c r="M25" s="44">
        <v>5000</v>
      </c>
      <c r="N25" s="45"/>
      <c r="O25" s="44">
        <v>5000</v>
      </c>
      <c r="P25" s="45"/>
    </row>
    <row r="26" spans="1:16" ht="14.25" customHeight="1">
      <c r="A26" s="2"/>
      <c r="B26" s="46">
        <v>71055</v>
      </c>
      <c r="C26" s="47"/>
      <c r="D26" s="48" t="s">
        <v>36</v>
      </c>
      <c r="E26" s="49"/>
      <c r="F26" s="50"/>
      <c r="G26" s="51" t="s">
        <v>18</v>
      </c>
      <c r="H26" s="52"/>
      <c r="I26" s="44">
        <v>9386</v>
      </c>
      <c r="J26" s="45"/>
      <c r="K26" s="44">
        <v>5000</v>
      </c>
      <c r="L26" s="45"/>
      <c r="M26" s="44">
        <v>5000</v>
      </c>
      <c r="N26" s="45"/>
      <c r="O26" s="44">
        <v>5000</v>
      </c>
      <c r="P26" s="45"/>
    </row>
    <row r="27" spans="1:16" ht="14.25" customHeight="1">
      <c r="A27" s="2"/>
      <c r="B27" s="46">
        <v>81052</v>
      </c>
      <c r="C27" s="47"/>
      <c r="D27" s="48" t="s">
        <v>37</v>
      </c>
      <c r="E27" s="49"/>
      <c r="F27" s="50"/>
      <c r="G27" s="51" t="s">
        <v>23</v>
      </c>
      <c r="H27" s="52"/>
      <c r="I27" s="44">
        <v>10000</v>
      </c>
      <c r="J27" s="45"/>
      <c r="K27" s="44">
        <v>5188</v>
      </c>
      <c r="L27" s="45"/>
      <c r="M27" s="44">
        <v>5000</v>
      </c>
      <c r="N27" s="45"/>
      <c r="O27" s="44">
        <v>5000</v>
      </c>
      <c r="P27" s="45"/>
    </row>
    <row r="28" spans="1:16" ht="28.5" customHeight="1">
      <c r="A28" s="1"/>
      <c r="B28" s="46">
        <v>61070</v>
      </c>
      <c r="C28" s="47"/>
      <c r="D28" s="53" t="s">
        <v>38</v>
      </c>
      <c r="E28" s="54"/>
      <c r="F28" s="55"/>
      <c r="G28" s="51" t="s">
        <v>25</v>
      </c>
      <c r="H28" s="52"/>
      <c r="I28" s="44">
        <v>8616</v>
      </c>
      <c r="J28" s="45"/>
      <c r="K28" s="44">
        <v>5000</v>
      </c>
      <c r="L28" s="45"/>
      <c r="M28" s="44">
        <v>5000</v>
      </c>
      <c r="N28" s="45"/>
      <c r="O28" s="44">
        <v>5000</v>
      </c>
      <c r="P28" s="45"/>
    </row>
    <row r="29" spans="1:16" ht="28.5" customHeight="1">
      <c r="A29" s="1"/>
      <c r="B29" s="46">
        <v>81046</v>
      </c>
      <c r="C29" s="47"/>
      <c r="D29" s="53" t="s">
        <v>39</v>
      </c>
      <c r="E29" s="54"/>
      <c r="F29" s="55"/>
      <c r="G29" s="51" t="s">
        <v>23</v>
      </c>
      <c r="H29" s="52"/>
      <c r="I29" s="44">
        <v>10198</v>
      </c>
      <c r="J29" s="45"/>
      <c r="K29" s="44">
        <v>5000</v>
      </c>
      <c r="L29" s="45"/>
      <c r="M29" s="44">
        <v>5000</v>
      </c>
      <c r="N29" s="45"/>
      <c r="O29" s="44">
        <v>5000</v>
      </c>
      <c r="P29" s="45"/>
    </row>
    <row r="30" spans="1:16" ht="28.5" customHeight="1">
      <c r="A30" s="1"/>
      <c r="B30" s="46">
        <v>61036</v>
      </c>
      <c r="C30" s="47"/>
      <c r="D30" s="53" t="s">
        <v>40</v>
      </c>
      <c r="E30" s="54"/>
      <c r="F30" s="55"/>
      <c r="G30" s="51" t="s">
        <v>25</v>
      </c>
      <c r="H30" s="52"/>
      <c r="I30" s="44">
        <v>11050</v>
      </c>
      <c r="J30" s="45"/>
      <c r="K30" s="44">
        <v>5000</v>
      </c>
      <c r="L30" s="45"/>
      <c r="M30" s="44">
        <v>5000</v>
      </c>
      <c r="N30" s="45"/>
      <c r="O30" s="44">
        <v>5000</v>
      </c>
      <c r="P30" s="45"/>
    </row>
    <row r="31" spans="1:16" ht="28.5" customHeight="1">
      <c r="A31" s="1"/>
      <c r="B31" s="46">
        <v>71053</v>
      </c>
      <c r="C31" s="47"/>
      <c r="D31" s="53" t="s">
        <v>41</v>
      </c>
      <c r="E31" s="54"/>
      <c r="F31" s="55"/>
      <c r="G31" s="51" t="s">
        <v>18</v>
      </c>
      <c r="H31" s="52"/>
      <c r="I31" s="44">
        <v>10131</v>
      </c>
      <c r="J31" s="45"/>
      <c r="K31" s="44">
        <v>5000</v>
      </c>
      <c r="L31" s="45"/>
      <c r="M31" s="44">
        <v>5000</v>
      </c>
      <c r="N31" s="45"/>
      <c r="O31" s="44">
        <v>5000</v>
      </c>
      <c r="P31" s="45"/>
    </row>
    <row r="32" spans="1:16" ht="28.5" customHeight="1">
      <c r="A32" s="1"/>
      <c r="B32" s="46">
        <v>71079</v>
      </c>
      <c r="C32" s="47"/>
      <c r="D32" s="53" t="s">
        <v>42</v>
      </c>
      <c r="E32" s="54"/>
      <c r="F32" s="55"/>
      <c r="G32" s="51" t="s">
        <v>18</v>
      </c>
      <c r="H32" s="52"/>
      <c r="I32" s="44">
        <v>9120</v>
      </c>
      <c r="J32" s="45"/>
      <c r="K32" s="44">
        <v>5000</v>
      </c>
      <c r="L32" s="45"/>
      <c r="M32" s="44">
        <v>5000</v>
      </c>
      <c r="N32" s="45"/>
      <c r="O32" s="44">
        <v>5000</v>
      </c>
      <c r="P32" s="45"/>
    </row>
    <row r="33" spans="1:16" ht="28.5" customHeight="1">
      <c r="A33" s="1"/>
      <c r="B33" s="46">
        <v>71080</v>
      </c>
      <c r="C33" s="47"/>
      <c r="D33" s="53" t="s">
        <v>43</v>
      </c>
      <c r="E33" s="54"/>
      <c r="F33" s="55"/>
      <c r="G33" s="51" t="s">
        <v>18</v>
      </c>
      <c r="H33" s="52"/>
      <c r="I33" s="44">
        <v>7346</v>
      </c>
      <c r="J33" s="45"/>
      <c r="K33" s="44">
        <v>5000</v>
      </c>
      <c r="L33" s="45"/>
      <c r="M33" s="44">
        <v>5000</v>
      </c>
      <c r="N33" s="45"/>
      <c r="O33" s="44">
        <v>5000</v>
      </c>
      <c r="P33" s="45"/>
    </row>
    <row r="34" spans="1:16" ht="14.25" customHeight="1">
      <c r="A34" s="2"/>
      <c r="B34" s="46">
        <v>11066</v>
      </c>
      <c r="C34" s="47"/>
      <c r="D34" s="48" t="s">
        <v>44</v>
      </c>
      <c r="E34" s="49"/>
      <c r="F34" s="50"/>
      <c r="G34" s="51" t="s">
        <v>16</v>
      </c>
      <c r="H34" s="52"/>
      <c r="I34" s="44">
        <v>11980</v>
      </c>
      <c r="J34" s="45"/>
      <c r="K34" s="44">
        <v>8563</v>
      </c>
      <c r="L34" s="45"/>
      <c r="M34" s="44">
        <v>5000</v>
      </c>
      <c r="N34" s="45"/>
      <c r="O34" s="44">
        <v>5000</v>
      </c>
      <c r="P34" s="45"/>
    </row>
    <row r="35" spans="1:16" ht="14.25" customHeight="1">
      <c r="A35" s="2"/>
      <c r="B35" s="46">
        <v>11095</v>
      </c>
      <c r="C35" s="47"/>
      <c r="D35" s="48" t="s">
        <v>45</v>
      </c>
      <c r="E35" s="49"/>
      <c r="F35" s="50"/>
      <c r="G35" s="51" t="s">
        <v>16</v>
      </c>
      <c r="H35" s="52"/>
      <c r="I35" s="44">
        <v>10916</v>
      </c>
      <c r="J35" s="45"/>
      <c r="K35" s="44">
        <v>7250</v>
      </c>
      <c r="L35" s="45"/>
      <c r="M35" s="44">
        <v>5000</v>
      </c>
      <c r="N35" s="45"/>
      <c r="O35" s="44">
        <v>5000</v>
      </c>
      <c r="P35" s="45"/>
    </row>
    <row r="36" spans="1:16" ht="14.25" customHeight="1">
      <c r="A36" s="2"/>
      <c r="B36" s="46">
        <v>11090</v>
      </c>
      <c r="C36" s="47"/>
      <c r="D36" s="48" t="s">
        <v>46</v>
      </c>
      <c r="E36" s="49"/>
      <c r="F36" s="50"/>
      <c r="G36" s="51" t="s">
        <v>16</v>
      </c>
      <c r="H36" s="52"/>
      <c r="I36" s="44">
        <v>9080</v>
      </c>
      <c r="J36" s="45"/>
      <c r="K36" s="44">
        <v>5000</v>
      </c>
      <c r="L36" s="45"/>
      <c r="M36" s="44">
        <v>5000</v>
      </c>
      <c r="N36" s="45"/>
      <c r="O36" s="44">
        <v>5000</v>
      </c>
      <c r="P36" s="45"/>
    </row>
    <row r="37" spans="1:16" ht="28.5" customHeight="1">
      <c r="A37" s="1"/>
      <c r="B37" s="46">
        <v>61077</v>
      </c>
      <c r="C37" s="47"/>
      <c r="D37" s="53" t="s">
        <v>47</v>
      </c>
      <c r="E37" s="54"/>
      <c r="F37" s="55"/>
      <c r="G37" s="51" t="s">
        <v>25</v>
      </c>
      <c r="H37" s="52"/>
      <c r="I37" s="44">
        <v>5000</v>
      </c>
      <c r="J37" s="45"/>
      <c r="K37" s="44">
        <v>5000</v>
      </c>
      <c r="L37" s="45"/>
      <c r="M37" s="44">
        <v>5000</v>
      </c>
      <c r="N37" s="45"/>
      <c r="O37" s="44">
        <v>5000</v>
      </c>
      <c r="P37" s="45"/>
    </row>
    <row r="38" spans="1:16" ht="14.25" customHeight="1">
      <c r="A38" s="2"/>
      <c r="B38" s="46">
        <v>61053</v>
      </c>
      <c r="C38" s="47"/>
      <c r="D38" s="48" t="s">
        <v>48</v>
      </c>
      <c r="E38" s="49"/>
      <c r="F38" s="50"/>
      <c r="G38" s="51" t="s">
        <v>25</v>
      </c>
      <c r="H38" s="52"/>
      <c r="I38" s="44">
        <v>7360</v>
      </c>
      <c r="J38" s="45"/>
      <c r="K38" s="44">
        <v>5000</v>
      </c>
      <c r="L38" s="45"/>
      <c r="M38" s="44">
        <v>5000</v>
      </c>
      <c r="N38" s="45"/>
      <c r="O38" s="44">
        <v>5000</v>
      </c>
      <c r="P38" s="45"/>
    </row>
    <row r="39" spans="1:16" ht="14.25" customHeight="1">
      <c r="A39" s="2"/>
      <c r="B39" s="46">
        <v>71003</v>
      </c>
      <c r="C39" s="47"/>
      <c r="D39" s="48" t="s">
        <v>49</v>
      </c>
      <c r="E39" s="49"/>
      <c r="F39" s="50"/>
      <c r="G39" s="51" t="s">
        <v>18</v>
      </c>
      <c r="H39" s="52"/>
      <c r="I39" s="44">
        <v>5404</v>
      </c>
      <c r="J39" s="45"/>
      <c r="K39" s="44">
        <v>6938</v>
      </c>
      <c r="L39" s="45"/>
      <c r="M39" s="44">
        <v>5000</v>
      </c>
      <c r="N39" s="45"/>
      <c r="O39" s="44">
        <v>5000</v>
      </c>
      <c r="P39" s="45"/>
    </row>
    <row r="40" spans="1:16" ht="14.25" customHeight="1">
      <c r="A40" s="2"/>
      <c r="B40" s="46">
        <v>71049</v>
      </c>
      <c r="C40" s="47"/>
      <c r="D40" s="48" t="s">
        <v>50</v>
      </c>
      <c r="E40" s="49"/>
      <c r="F40" s="50"/>
      <c r="G40" s="51" t="s">
        <v>51</v>
      </c>
      <c r="H40" s="52"/>
      <c r="I40" s="44">
        <v>5000</v>
      </c>
      <c r="J40" s="45"/>
      <c r="K40" s="44">
        <v>5000</v>
      </c>
      <c r="L40" s="45"/>
      <c r="M40" s="44">
        <v>5000</v>
      </c>
      <c r="N40" s="45"/>
      <c r="O40" s="44">
        <v>5000</v>
      </c>
      <c r="P40" s="45"/>
    </row>
    <row r="41" spans="1:16" ht="14.25" customHeight="1">
      <c r="A41" s="2"/>
      <c r="B41" s="46">
        <v>11001</v>
      </c>
      <c r="C41" s="47"/>
      <c r="D41" s="48" t="s">
        <v>52</v>
      </c>
      <c r="E41" s="49"/>
      <c r="F41" s="50"/>
      <c r="G41" s="51" t="s">
        <v>16</v>
      </c>
      <c r="H41" s="52"/>
      <c r="I41" s="44">
        <v>5218</v>
      </c>
      <c r="J41" s="45"/>
      <c r="K41" s="44">
        <v>5000</v>
      </c>
      <c r="L41" s="45"/>
      <c r="M41" s="44">
        <v>7680</v>
      </c>
      <c r="N41" s="45"/>
      <c r="O41" s="44">
        <v>6833</v>
      </c>
      <c r="P41" s="45"/>
    </row>
    <row r="42" spans="1:16" ht="14.25" customHeight="1">
      <c r="A42" s="2"/>
      <c r="B42" s="46">
        <v>21152</v>
      </c>
      <c r="C42" s="47"/>
      <c r="D42" s="48" t="s">
        <v>53</v>
      </c>
      <c r="E42" s="49"/>
      <c r="F42" s="50"/>
      <c r="G42" s="51" t="s">
        <v>20</v>
      </c>
      <c r="H42" s="52"/>
      <c r="I42" s="44">
        <v>5000</v>
      </c>
      <c r="J42" s="45"/>
      <c r="K42" s="44">
        <v>5000</v>
      </c>
      <c r="L42" s="45"/>
      <c r="M42" s="44">
        <v>6300</v>
      </c>
      <c r="N42" s="45"/>
      <c r="O42" s="44">
        <v>5000</v>
      </c>
      <c r="P42" s="45"/>
    </row>
    <row r="43" spans="1:16" ht="14.25" customHeight="1">
      <c r="A43" s="2"/>
      <c r="B43" s="46">
        <v>11029</v>
      </c>
      <c r="C43" s="47"/>
      <c r="D43" s="48" t="s">
        <v>54</v>
      </c>
      <c r="E43" s="49"/>
      <c r="F43" s="50"/>
      <c r="G43" s="51" t="s">
        <v>16</v>
      </c>
      <c r="H43" s="52"/>
      <c r="I43" s="44">
        <v>5000</v>
      </c>
      <c r="J43" s="45"/>
      <c r="K43" s="44">
        <v>5000</v>
      </c>
      <c r="L43" s="45"/>
      <c r="M43" s="44">
        <v>5000</v>
      </c>
      <c r="N43" s="45"/>
      <c r="O43" s="44">
        <v>6833</v>
      </c>
      <c r="P43" s="45"/>
    </row>
    <row r="44" spans="1:16" ht="14.25" customHeight="1">
      <c r="A44" s="2"/>
      <c r="B44" s="46">
        <v>21146</v>
      </c>
      <c r="C44" s="47"/>
      <c r="D44" s="48" t="s">
        <v>55</v>
      </c>
      <c r="E44" s="49"/>
      <c r="F44" s="50"/>
      <c r="G44" s="51" t="s">
        <v>20</v>
      </c>
      <c r="H44" s="52"/>
      <c r="I44" s="44">
        <v>5000</v>
      </c>
      <c r="J44" s="45"/>
      <c r="K44" s="44">
        <v>5000</v>
      </c>
      <c r="L44" s="45"/>
      <c r="M44" s="44">
        <v>5000</v>
      </c>
      <c r="N44" s="45"/>
      <c r="O44" s="44">
        <v>6667</v>
      </c>
      <c r="P44" s="45"/>
    </row>
    <row r="45" spans="1:16" ht="14.25" customHeight="1">
      <c r="A45" s="2"/>
      <c r="B45" s="46">
        <v>11096</v>
      </c>
      <c r="C45" s="47"/>
      <c r="D45" s="48" t="s">
        <v>56</v>
      </c>
      <c r="E45" s="49"/>
      <c r="F45" s="50"/>
      <c r="G45" s="51" t="s">
        <v>16</v>
      </c>
      <c r="H45" s="52"/>
      <c r="I45" s="44">
        <v>7836</v>
      </c>
      <c r="J45" s="45"/>
      <c r="K45" s="44">
        <v>5875</v>
      </c>
      <c r="L45" s="45"/>
      <c r="M45" s="44">
        <v>5000</v>
      </c>
      <c r="N45" s="45"/>
      <c r="O45" s="44">
        <v>5000</v>
      </c>
      <c r="P45" s="45"/>
    </row>
    <row r="46" spans="1:16" ht="14.25" customHeight="1">
      <c r="A46" s="2"/>
      <c r="B46" s="46">
        <v>31016</v>
      </c>
      <c r="C46" s="47"/>
      <c r="D46" s="48" t="s">
        <v>57</v>
      </c>
      <c r="E46" s="49"/>
      <c r="F46" s="50"/>
      <c r="G46" s="51" t="s">
        <v>58</v>
      </c>
      <c r="H46" s="52"/>
      <c r="I46" s="44">
        <v>8950</v>
      </c>
      <c r="J46" s="45"/>
      <c r="K46" s="44">
        <v>5000</v>
      </c>
      <c r="L46" s="45"/>
      <c r="M46" s="44">
        <v>5000</v>
      </c>
      <c r="N46" s="45"/>
      <c r="O46" s="44">
        <v>5000</v>
      </c>
      <c r="P46" s="45"/>
    </row>
    <row r="47" spans="1:16" ht="14.25" customHeight="1">
      <c r="A47" s="2"/>
      <c r="B47" s="46">
        <v>81020</v>
      </c>
      <c r="C47" s="47"/>
      <c r="D47" s="48" t="s">
        <v>59</v>
      </c>
      <c r="E47" s="49"/>
      <c r="F47" s="50"/>
      <c r="G47" s="51" t="s">
        <v>23</v>
      </c>
      <c r="H47" s="52"/>
      <c r="I47" s="44">
        <v>8730</v>
      </c>
      <c r="J47" s="45"/>
      <c r="K47" s="44">
        <v>5000</v>
      </c>
      <c r="L47" s="45"/>
      <c r="M47" s="44">
        <v>8350</v>
      </c>
      <c r="N47" s="45"/>
      <c r="O47" s="44">
        <v>5667</v>
      </c>
      <c r="P47" s="45"/>
    </row>
    <row r="48" spans="1:16" ht="14.25" customHeight="1">
      <c r="A48" s="2"/>
      <c r="B48" s="46">
        <v>81065</v>
      </c>
      <c r="C48" s="47"/>
      <c r="D48" s="48" t="s">
        <v>60</v>
      </c>
      <c r="E48" s="49"/>
      <c r="F48" s="50"/>
      <c r="G48" s="51" t="s">
        <v>23</v>
      </c>
      <c r="H48" s="52"/>
      <c r="I48" s="44">
        <v>8422</v>
      </c>
      <c r="J48" s="45"/>
      <c r="K48" s="44">
        <v>5844</v>
      </c>
      <c r="L48" s="45"/>
      <c r="M48" s="44">
        <v>5660</v>
      </c>
      <c r="N48" s="45"/>
      <c r="O48" s="44">
        <v>7000</v>
      </c>
      <c r="P48" s="45"/>
    </row>
    <row r="49" spans="1:16" ht="14.25" customHeight="1">
      <c r="A49" s="2"/>
      <c r="B49" s="46">
        <v>61016</v>
      </c>
      <c r="C49" s="47"/>
      <c r="D49" s="48" t="s">
        <v>61</v>
      </c>
      <c r="E49" s="49"/>
      <c r="F49" s="50"/>
      <c r="G49" s="51" t="s">
        <v>25</v>
      </c>
      <c r="H49" s="52"/>
      <c r="I49" s="44">
        <v>8482</v>
      </c>
      <c r="J49" s="45"/>
      <c r="K49" s="44">
        <v>5000</v>
      </c>
      <c r="L49" s="45"/>
      <c r="M49" s="44">
        <v>7700</v>
      </c>
      <c r="N49" s="45"/>
      <c r="O49" s="44">
        <v>5000</v>
      </c>
      <c r="P49" s="45"/>
    </row>
    <row r="50" spans="1:16" ht="14.25" customHeight="1">
      <c r="A50" s="2"/>
      <c r="B50" s="46">
        <v>31078</v>
      </c>
      <c r="C50" s="47"/>
      <c r="D50" s="48" t="s">
        <v>62</v>
      </c>
      <c r="E50" s="49"/>
      <c r="F50" s="50"/>
      <c r="G50" s="51" t="s">
        <v>58</v>
      </c>
      <c r="H50" s="52"/>
      <c r="I50" s="44">
        <v>10104</v>
      </c>
      <c r="J50" s="45"/>
      <c r="K50" s="44">
        <v>5000</v>
      </c>
      <c r="L50" s="45"/>
      <c r="M50" s="44">
        <v>6010</v>
      </c>
      <c r="N50" s="45"/>
      <c r="O50" s="44">
        <v>5000</v>
      </c>
      <c r="P50" s="45"/>
    </row>
    <row r="51" spans="1:16" ht="14.25" customHeight="1">
      <c r="A51" s="2"/>
      <c r="B51" s="46">
        <v>81057</v>
      </c>
      <c r="C51" s="47"/>
      <c r="D51" s="48" t="s">
        <v>63</v>
      </c>
      <c r="E51" s="49"/>
      <c r="F51" s="50"/>
      <c r="G51" s="51" t="s">
        <v>23</v>
      </c>
      <c r="H51" s="52"/>
      <c r="I51" s="44">
        <v>9968</v>
      </c>
      <c r="J51" s="45"/>
      <c r="K51" s="44">
        <v>5000</v>
      </c>
      <c r="L51" s="45"/>
      <c r="M51" s="44">
        <v>5000</v>
      </c>
      <c r="N51" s="45"/>
      <c r="O51" s="44">
        <v>5000</v>
      </c>
      <c r="P51" s="45"/>
    </row>
    <row r="52" spans="1:16" ht="14.25" customHeight="1">
      <c r="A52" s="2"/>
      <c r="B52" s="46">
        <v>71087</v>
      </c>
      <c r="C52" s="47"/>
      <c r="D52" s="48" t="s">
        <v>64</v>
      </c>
      <c r="E52" s="49"/>
      <c r="F52" s="50"/>
      <c r="G52" s="51" t="s">
        <v>18</v>
      </c>
      <c r="H52" s="52"/>
      <c r="I52" s="44">
        <v>9468</v>
      </c>
      <c r="J52" s="45"/>
      <c r="K52" s="44">
        <v>5000</v>
      </c>
      <c r="L52" s="45"/>
      <c r="M52" s="44">
        <v>5000</v>
      </c>
      <c r="N52" s="45"/>
      <c r="O52" s="44">
        <v>5000</v>
      </c>
      <c r="P52" s="45"/>
    </row>
    <row r="53" spans="1:16" ht="14.25" customHeight="1">
      <c r="A53" s="2"/>
      <c r="B53" s="46">
        <v>31079</v>
      </c>
      <c r="C53" s="47"/>
      <c r="D53" s="48" t="s">
        <v>65</v>
      </c>
      <c r="E53" s="49"/>
      <c r="F53" s="50"/>
      <c r="G53" s="51" t="s">
        <v>58</v>
      </c>
      <c r="H53" s="52"/>
      <c r="I53" s="44">
        <v>10608</v>
      </c>
      <c r="J53" s="45"/>
      <c r="K53" s="44">
        <v>5000</v>
      </c>
      <c r="L53" s="45"/>
      <c r="M53" s="44">
        <v>6680</v>
      </c>
      <c r="N53" s="45"/>
      <c r="O53" s="44">
        <v>5000</v>
      </c>
      <c r="P53" s="45"/>
    </row>
    <row r="54" spans="1:16" ht="14.25" customHeight="1">
      <c r="A54" s="2"/>
      <c r="B54" s="46">
        <v>81045</v>
      </c>
      <c r="C54" s="47"/>
      <c r="D54" s="48" t="s">
        <v>66</v>
      </c>
      <c r="E54" s="49"/>
      <c r="F54" s="50"/>
      <c r="G54" s="51" t="s">
        <v>23</v>
      </c>
      <c r="H54" s="52"/>
      <c r="I54" s="44">
        <v>5000</v>
      </c>
      <c r="J54" s="45"/>
      <c r="K54" s="44">
        <v>5000</v>
      </c>
      <c r="L54" s="45"/>
      <c r="M54" s="44">
        <v>5000</v>
      </c>
      <c r="N54" s="45"/>
      <c r="O54" s="44">
        <v>5000</v>
      </c>
      <c r="P54" s="45"/>
    </row>
    <row r="55" spans="1:16" ht="14.25" customHeight="1">
      <c r="A55" s="2"/>
      <c r="B55" s="46">
        <v>21020</v>
      </c>
      <c r="C55" s="47"/>
      <c r="D55" s="48" t="s">
        <v>67</v>
      </c>
      <c r="E55" s="49"/>
      <c r="F55" s="50"/>
      <c r="G55" s="51" t="s">
        <v>20</v>
      </c>
      <c r="H55" s="52"/>
      <c r="I55" s="44">
        <v>5000</v>
      </c>
      <c r="J55" s="45"/>
      <c r="K55" s="44">
        <v>5000</v>
      </c>
      <c r="L55" s="45"/>
      <c r="M55" s="44">
        <v>5000</v>
      </c>
      <c r="N55" s="45"/>
      <c r="O55" s="44">
        <v>5000</v>
      </c>
      <c r="P55" s="45"/>
    </row>
    <row r="56" spans="1:16" ht="14.25" customHeight="1">
      <c r="A56" s="2"/>
      <c r="B56" s="46">
        <v>91063</v>
      </c>
      <c r="C56" s="47"/>
      <c r="D56" s="48" t="s">
        <v>68</v>
      </c>
      <c r="E56" s="49"/>
      <c r="F56" s="50"/>
      <c r="G56" s="51" t="s">
        <v>28</v>
      </c>
      <c r="H56" s="52"/>
      <c r="I56" s="44">
        <v>5000</v>
      </c>
      <c r="J56" s="45"/>
      <c r="K56" s="44">
        <v>5000</v>
      </c>
      <c r="L56" s="45"/>
      <c r="M56" s="44">
        <v>5000</v>
      </c>
      <c r="N56" s="45"/>
      <c r="O56" s="44">
        <v>5000</v>
      </c>
      <c r="P56" s="45"/>
    </row>
    <row r="57" spans="1:16" ht="14.25" customHeight="1">
      <c r="A57" s="2"/>
      <c r="B57" s="46">
        <v>11099</v>
      </c>
      <c r="C57" s="47"/>
      <c r="D57" s="48" t="s">
        <v>69</v>
      </c>
      <c r="E57" s="49"/>
      <c r="F57" s="50"/>
      <c r="G57" s="51" t="s">
        <v>16</v>
      </c>
      <c r="H57" s="52"/>
      <c r="I57" s="44">
        <v>8522</v>
      </c>
      <c r="J57" s="45"/>
      <c r="K57" s="44">
        <v>5000</v>
      </c>
      <c r="L57" s="45"/>
      <c r="M57" s="44">
        <v>7670</v>
      </c>
      <c r="N57" s="45"/>
      <c r="O57" s="44">
        <v>6500</v>
      </c>
      <c r="P57" s="45"/>
    </row>
    <row r="58" spans="1:16" ht="14.25" customHeight="1">
      <c r="A58" s="2"/>
      <c r="B58" s="46">
        <v>91059</v>
      </c>
      <c r="C58" s="47"/>
      <c r="D58" s="48" t="s">
        <v>70</v>
      </c>
      <c r="E58" s="49"/>
      <c r="F58" s="50"/>
      <c r="G58" s="51" t="s">
        <v>28</v>
      </c>
      <c r="H58" s="52"/>
      <c r="I58" s="44">
        <v>5000</v>
      </c>
      <c r="J58" s="45"/>
      <c r="K58" s="44">
        <v>5000</v>
      </c>
      <c r="L58" s="45"/>
      <c r="M58" s="44">
        <v>5000</v>
      </c>
      <c r="N58" s="45"/>
      <c r="O58" s="44">
        <v>5000</v>
      </c>
      <c r="P58" s="45"/>
    </row>
    <row r="59" spans="1:16" ht="28.5" customHeight="1">
      <c r="A59" s="1"/>
      <c r="B59" s="46">
        <v>91917</v>
      </c>
      <c r="C59" s="47"/>
      <c r="D59" s="48" t="s">
        <v>71</v>
      </c>
      <c r="E59" s="49"/>
      <c r="F59" s="50"/>
      <c r="G59" s="53" t="s">
        <v>72</v>
      </c>
      <c r="H59" s="55"/>
      <c r="I59" s="44">
        <v>10900</v>
      </c>
      <c r="J59" s="45"/>
      <c r="K59" s="44">
        <v>5000</v>
      </c>
      <c r="L59" s="45"/>
      <c r="M59" s="44">
        <v>7900</v>
      </c>
      <c r="N59" s="45"/>
      <c r="O59" s="44">
        <v>5000</v>
      </c>
      <c r="P59" s="45"/>
    </row>
    <row r="60" spans="1:16" ht="14.25" customHeight="1">
      <c r="A60" s="2"/>
      <c r="B60" s="46">
        <v>11002</v>
      </c>
      <c r="C60" s="47"/>
      <c r="D60" s="48" t="s">
        <v>73</v>
      </c>
      <c r="E60" s="49"/>
      <c r="F60" s="50"/>
      <c r="G60" s="51" t="s">
        <v>16</v>
      </c>
      <c r="H60" s="52"/>
      <c r="I60" s="44">
        <v>11060</v>
      </c>
      <c r="J60" s="45"/>
      <c r="K60" s="44">
        <v>5563</v>
      </c>
      <c r="L60" s="45"/>
      <c r="M60" s="44">
        <v>7130</v>
      </c>
      <c r="N60" s="45"/>
      <c r="O60" s="44">
        <v>5000</v>
      </c>
      <c r="P60" s="45"/>
    </row>
    <row r="61" spans="1:16" ht="14.25" customHeight="1">
      <c r="A61" s="2"/>
      <c r="B61" s="46">
        <v>21009</v>
      </c>
      <c r="C61" s="47"/>
      <c r="D61" s="48" t="s">
        <v>74</v>
      </c>
      <c r="E61" s="49"/>
      <c r="F61" s="50"/>
      <c r="G61" s="51" t="s">
        <v>20</v>
      </c>
      <c r="H61" s="52"/>
      <c r="I61" s="44">
        <v>10908</v>
      </c>
      <c r="J61" s="45"/>
      <c r="K61" s="44">
        <v>5688</v>
      </c>
      <c r="L61" s="45"/>
      <c r="M61" s="44">
        <v>7150</v>
      </c>
      <c r="N61" s="45"/>
      <c r="O61" s="44">
        <v>5000</v>
      </c>
      <c r="P61" s="45"/>
    </row>
    <row r="62" spans="1:16" ht="14.25" customHeight="1">
      <c r="A62" s="2"/>
      <c r="B62" s="46">
        <v>81006</v>
      </c>
      <c r="C62" s="47"/>
      <c r="D62" s="48" t="s">
        <v>75</v>
      </c>
      <c r="E62" s="49"/>
      <c r="F62" s="50"/>
      <c r="G62" s="51" t="s">
        <v>23</v>
      </c>
      <c r="H62" s="52"/>
      <c r="I62" s="44">
        <v>9880</v>
      </c>
      <c r="J62" s="45"/>
      <c r="K62" s="44">
        <v>5000</v>
      </c>
      <c r="L62" s="45"/>
      <c r="M62" s="44">
        <v>5000</v>
      </c>
      <c r="N62" s="45"/>
      <c r="O62" s="44">
        <v>5000</v>
      </c>
      <c r="P62" s="45"/>
    </row>
    <row r="63" spans="1:16" ht="14.25" customHeight="1">
      <c r="A63" s="2"/>
      <c r="B63" s="46">
        <v>91018</v>
      </c>
      <c r="C63" s="47"/>
      <c r="D63" s="48" t="s">
        <v>76</v>
      </c>
      <c r="E63" s="49"/>
      <c r="F63" s="50"/>
      <c r="G63" s="51" t="s">
        <v>28</v>
      </c>
      <c r="H63" s="52"/>
      <c r="I63" s="44">
        <v>6375</v>
      </c>
      <c r="J63" s="45"/>
      <c r="K63" s="44">
        <v>5000</v>
      </c>
      <c r="L63" s="45"/>
      <c r="M63" s="44">
        <v>5000</v>
      </c>
      <c r="N63" s="45"/>
      <c r="O63" s="44">
        <v>5000</v>
      </c>
      <c r="P63" s="45"/>
    </row>
    <row r="64" spans="1:16" ht="14.25" customHeight="1">
      <c r="A64" s="2"/>
      <c r="B64" s="46">
        <v>81047</v>
      </c>
      <c r="C64" s="47"/>
      <c r="D64" s="48" t="s">
        <v>77</v>
      </c>
      <c r="E64" s="49"/>
      <c r="F64" s="50"/>
      <c r="G64" s="51" t="s">
        <v>23</v>
      </c>
      <c r="H64" s="52"/>
      <c r="I64" s="44">
        <v>11458</v>
      </c>
      <c r="J64" s="45"/>
      <c r="K64" s="44">
        <v>5000</v>
      </c>
      <c r="L64" s="45"/>
      <c r="M64" s="44">
        <v>5000</v>
      </c>
      <c r="N64" s="45"/>
      <c r="O64" s="44">
        <v>5000</v>
      </c>
      <c r="P64" s="45"/>
    </row>
    <row r="65" spans="1:16" ht="14.25" customHeight="1">
      <c r="A65" s="2"/>
      <c r="B65" s="46">
        <v>81048</v>
      </c>
      <c r="C65" s="47"/>
      <c r="D65" s="48" t="s">
        <v>78</v>
      </c>
      <c r="E65" s="49"/>
      <c r="F65" s="50"/>
      <c r="G65" s="51" t="s">
        <v>23</v>
      </c>
      <c r="H65" s="52"/>
      <c r="I65" s="44">
        <v>10136</v>
      </c>
      <c r="J65" s="45"/>
      <c r="K65" s="44">
        <v>5000</v>
      </c>
      <c r="L65" s="45"/>
      <c r="M65" s="44">
        <v>5000</v>
      </c>
      <c r="N65" s="45"/>
      <c r="O65" s="44">
        <v>5000</v>
      </c>
      <c r="P65" s="45"/>
    </row>
    <row r="66" spans="1:16" ht="14.25" customHeight="1">
      <c r="A66" s="2"/>
      <c r="B66" s="46">
        <v>21008</v>
      </c>
      <c r="C66" s="47"/>
      <c r="D66" s="48" t="s">
        <v>79</v>
      </c>
      <c r="E66" s="49"/>
      <c r="F66" s="50"/>
      <c r="G66" s="51" t="s">
        <v>20</v>
      </c>
      <c r="H66" s="52"/>
      <c r="I66" s="44">
        <v>10714</v>
      </c>
      <c r="J66" s="45"/>
      <c r="K66" s="44">
        <v>6625</v>
      </c>
      <c r="L66" s="45"/>
      <c r="M66" s="44">
        <v>7325</v>
      </c>
      <c r="N66" s="45"/>
      <c r="O66" s="44">
        <v>7000</v>
      </c>
      <c r="P66" s="45"/>
    </row>
    <row r="67" spans="1:16" ht="14.25" customHeight="1">
      <c r="A67" s="2"/>
      <c r="B67" s="46">
        <v>91058</v>
      </c>
      <c r="C67" s="47"/>
      <c r="D67" s="48" t="s">
        <v>80</v>
      </c>
      <c r="E67" s="49"/>
      <c r="F67" s="50"/>
      <c r="G67" s="51" t="s">
        <v>28</v>
      </c>
      <c r="H67" s="52"/>
      <c r="I67" s="44">
        <v>10566</v>
      </c>
      <c r="J67" s="45"/>
      <c r="K67" s="44">
        <v>5000</v>
      </c>
      <c r="L67" s="45"/>
      <c r="M67" s="44">
        <v>8750</v>
      </c>
      <c r="N67" s="45"/>
      <c r="O67" s="44">
        <v>5000</v>
      </c>
      <c r="P67" s="45"/>
    </row>
    <row r="68" spans="1:16" ht="14.25" customHeight="1">
      <c r="A68" s="2"/>
      <c r="B68" s="46">
        <v>11003</v>
      </c>
      <c r="C68" s="47"/>
      <c r="D68" s="48" t="s">
        <v>81</v>
      </c>
      <c r="E68" s="49"/>
      <c r="F68" s="50"/>
      <c r="G68" s="51" t="s">
        <v>16</v>
      </c>
      <c r="H68" s="52"/>
      <c r="I68" s="44">
        <v>11621</v>
      </c>
      <c r="J68" s="45"/>
      <c r="K68" s="44">
        <v>5000</v>
      </c>
      <c r="L68" s="45"/>
      <c r="M68" s="44">
        <v>5000</v>
      </c>
      <c r="N68" s="45"/>
      <c r="O68" s="44">
        <v>5000</v>
      </c>
      <c r="P68" s="45"/>
    </row>
    <row r="69" spans="1:16" ht="14.25" customHeight="1">
      <c r="A69" s="2"/>
      <c r="B69" s="46">
        <v>21011</v>
      </c>
      <c r="C69" s="47"/>
      <c r="D69" s="48" t="s">
        <v>82</v>
      </c>
      <c r="E69" s="49"/>
      <c r="F69" s="50"/>
      <c r="G69" s="51" t="s">
        <v>20</v>
      </c>
      <c r="H69" s="52"/>
      <c r="I69" s="44">
        <v>11236</v>
      </c>
      <c r="J69" s="45"/>
      <c r="K69" s="44">
        <v>5000</v>
      </c>
      <c r="L69" s="45"/>
      <c r="M69" s="44">
        <v>5000</v>
      </c>
      <c r="N69" s="45"/>
      <c r="O69" s="44">
        <v>5000</v>
      </c>
      <c r="P69" s="45"/>
    </row>
    <row r="70" spans="1:16" ht="14.25" customHeight="1">
      <c r="A70" s="2"/>
      <c r="B70" s="46">
        <v>71005</v>
      </c>
      <c r="C70" s="47"/>
      <c r="D70" s="48" t="s">
        <v>83</v>
      </c>
      <c r="E70" s="49"/>
      <c r="F70" s="50"/>
      <c r="G70" s="51" t="s">
        <v>18</v>
      </c>
      <c r="H70" s="52"/>
      <c r="I70" s="44">
        <v>11020</v>
      </c>
      <c r="J70" s="45"/>
      <c r="K70" s="44">
        <v>5000</v>
      </c>
      <c r="L70" s="45"/>
      <c r="M70" s="44">
        <v>5000</v>
      </c>
      <c r="N70" s="45"/>
      <c r="O70" s="44">
        <v>5000</v>
      </c>
      <c r="P70" s="45"/>
    </row>
    <row r="71" spans="1:16" ht="14.25" customHeight="1">
      <c r="A71" s="2"/>
      <c r="B71" s="46">
        <v>71054</v>
      </c>
      <c r="C71" s="47"/>
      <c r="D71" s="48" t="s">
        <v>84</v>
      </c>
      <c r="E71" s="49"/>
      <c r="F71" s="50"/>
      <c r="G71" s="51" t="s">
        <v>18</v>
      </c>
      <c r="H71" s="52"/>
      <c r="I71" s="44">
        <v>12280</v>
      </c>
      <c r="J71" s="45"/>
      <c r="K71" s="44">
        <v>5000</v>
      </c>
      <c r="L71" s="45"/>
      <c r="M71" s="44">
        <v>9130</v>
      </c>
      <c r="N71" s="45"/>
      <c r="O71" s="44">
        <v>5000</v>
      </c>
      <c r="P71" s="45"/>
    </row>
    <row r="72" spans="1:16" ht="14.25" customHeight="1">
      <c r="A72" s="2"/>
      <c r="B72" s="6"/>
      <c r="C72" s="6"/>
      <c r="D72" s="3"/>
      <c r="E72" s="3"/>
      <c r="F72" s="3"/>
      <c r="G72" s="7"/>
      <c r="H72" s="7"/>
      <c r="I72" s="8"/>
      <c r="J72" s="8"/>
      <c r="K72" s="8"/>
      <c r="L72" s="8"/>
      <c r="M72" s="8"/>
      <c r="N72" s="8"/>
      <c r="O72" s="8"/>
      <c r="P72" s="9"/>
    </row>
    <row r="73" spans="1:16" ht="29" customHeight="1">
      <c r="A73" s="88" t="s">
        <v>3</v>
      </c>
      <c r="B73" s="88"/>
      <c r="C73" s="89" t="s">
        <v>4</v>
      </c>
      <c r="D73" s="89"/>
      <c r="E73" s="89"/>
      <c r="F73" s="88" t="s">
        <v>5</v>
      </c>
      <c r="G73" s="88"/>
      <c r="H73" s="90" t="s">
        <v>6</v>
      </c>
      <c r="I73" s="90"/>
      <c r="J73" s="88" t="s">
        <v>7</v>
      </c>
      <c r="K73" s="88"/>
      <c r="L73" s="88" t="s">
        <v>8</v>
      </c>
      <c r="M73" s="88"/>
      <c r="N73" s="88" t="s">
        <v>9</v>
      </c>
      <c r="O73" s="88"/>
    </row>
    <row r="74" spans="1:16" ht="14.25" customHeight="1">
      <c r="A74" s="46">
        <v>11004</v>
      </c>
      <c r="B74" s="47"/>
      <c r="C74" s="48" t="s">
        <v>85</v>
      </c>
      <c r="D74" s="49"/>
      <c r="E74" s="50"/>
      <c r="F74" s="51" t="s">
        <v>16</v>
      </c>
      <c r="G74" s="52"/>
      <c r="H74" s="44">
        <v>11830</v>
      </c>
      <c r="I74" s="45"/>
      <c r="J74" s="44">
        <v>5000</v>
      </c>
      <c r="K74" s="45"/>
      <c r="L74" s="44">
        <v>6510</v>
      </c>
      <c r="M74" s="45"/>
      <c r="N74" s="44">
        <v>5000</v>
      </c>
      <c r="O74" s="45"/>
    </row>
    <row r="75" spans="1:16" ht="14.25" customHeight="1">
      <c r="A75" s="46">
        <v>21012</v>
      </c>
      <c r="B75" s="47"/>
      <c r="C75" s="48" t="s">
        <v>86</v>
      </c>
      <c r="D75" s="49"/>
      <c r="E75" s="50"/>
      <c r="F75" s="51" t="s">
        <v>20</v>
      </c>
      <c r="G75" s="52"/>
      <c r="H75" s="44">
        <v>11506</v>
      </c>
      <c r="I75" s="45"/>
      <c r="J75" s="44">
        <v>5000</v>
      </c>
      <c r="K75" s="45"/>
      <c r="L75" s="44">
        <v>5000</v>
      </c>
      <c r="M75" s="45"/>
      <c r="N75" s="44">
        <v>5000</v>
      </c>
      <c r="O75" s="45"/>
    </row>
    <row r="76" spans="1:16" ht="14.25" customHeight="1">
      <c r="A76" s="46">
        <v>81007</v>
      </c>
      <c r="B76" s="47"/>
      <c r="C76" s="48" t="s">
        <v>87</v>
      </c>
      <c r="D76" s="49"/>
      <c r="E76" s="50"/>
      <c r="F76" s="51" t="s">
        <v>23</v>
      </c>
      <c r="G76" s="52"/>
      <c r="H76" s="44">
        <v>10354</v>
      </c>
      <c r="I76" s="45"/>
      <c r="J76" s="44">
        <v>5000</v>
      </c>
      <c r="K76" s="45"/>
      <c r="L76" s="44">
        <v>5000</v>
      </c>
      <c r="M76" s="45"/>
      <c r="N76" s="44">
        <v>5000</v>
      </c>
      <c r="O76" s="45"/>
    </row>
    <row r="77" spans="1:16" ht="14.25" customHeight="1">
      <c r="A77" s="46">
        <v>61005</v>
      </c>
      <c r="B77" s="47"/>
      <c r="C77" s="48" t="s">
        <v>88</v>
      </c>
      <c r="D77" s="49"/>
      <c r="E77" s="50"/>
      <c r="F77" s="51" t="s">
        <v>25</v>
      </c>
      <c r="G77" s="52"/>
      <c r="H77" s="44">
        <v>10196</v>
      </c>
      <c r="I77" s="45"/>
      <c r="J77" s="44">
        <v>5000</v>
      </c>
      <c r="K77" s="45"/>
      <c r="L77" s="44">
        <v>5000</v>
      </c>
      <c r="M77" s="45"/>
      <c r="N77" s="44">
        <v>5000</v>
      </c>
      <c r="O77" s="45"/>
    </row>
    <row r="78" spans="1:16" ht="14.25" customHeight="1">
      <c r="A78" s="46">
        <v>71006</v>
      </c>
      <c r="B78" s="47"/>
      <c r="C78" s="48" t="s">
        <v>89</v>
      </c>
      <c r="D78" s="49"/>
      <c r="E78" s="50"/>
      <c r="F78" s="51" t="s">
        <v>18</v>
      </c>
      <c r="G78" s="52"/>
      <c r="H78" s="44">
        <v>10816</v>
      </c>
      <c r="I78" s="45"/>
      <c r="J78" s="44">
        <v>5000</v>
      </c>
      <c r="K78" s="45"/>
      <c r="L78" s="44">
        <v>5000</v>
      </c>
      <c r="M78" s="45"/>
      <c r="N78" s="44">
        <v>5000</v>
      </c>
      <c r="O78" s="45"/>
    </row>
    <row r="79" spans="1:16" ht="14.25" customHeight="1">
      <c r="A79" s="46">
        <v>91004</v>
      </c>
      <c r="B79" s="47"/>
      <c r="C79" s="48" t="s">
        <v>90</v>
      </c>
      <c r="D79" s="49"/>
      <c r="E79" s="50"/>
      <c r="F79" s="51" t="s">
        <v>28</v>
      </c>
      <c r="G79" s="52"/>
      <c r="H79" s="44">
        <v>7432</v>
      </c>
      <c r="I79" s="45"/>
      <c r="J79" s="44">
        <v>5000</v>
      </c>
      <c r="K79" s="45"/>
      <c r="L79" s="44">
        <v>5000</v>
      </c>
      <c r="M79" s="45"/>
      <c r="N79" s="44">
        <v>5000</v>
      </c>
      <c r="O79" s="45"/>
    </row>
    <row r="80" spans="1:16" ht="14.25" customHeight="1">
      <c r="A80" s="46">
        <v>71056</v>
      </c>
      <c r="B80" s="47"/>
      <c r="C80" s="48" t="s">
        <v>91</v>
      </c>
      <c r="D80" s="49"/>
      <c r="E80" s="50"/>
      <c r="F80" s="51" t="s">
        <v>18</v>
      </c>
      <c r="G80" s="52"/>
      <c r="H80" s="44">
        <v>10224</v>
      </c>
      <c r="I80" s="45"/>
      <c r="J80" s="44">
        <v>5000</v>
      </c>
      <c r="K80" s="45"/>
      <c r="L80" s="44">
        <v>5000</v>
      </c>
      <c r="M80" s="45"/>
      <c r="N80" s="44">
        <v>5000</v>
      </c>
      <c r="O80" s="45"/>
    </row>
    <row r="81" spans="1:15" ht="14.25" customHeight="1">
      <c r="A81" s="46">
        <v>11109</v>
      </c>
      <c r="B81" s="47"/>
      <c r="C81" s="48" t="s">
        <v>92</v>
      </c>
      <c r="D81" s="49"/>
      <c r="E81" s="50"/>
      <c r="F81" s="51" t="s">
        <v>16</v>
      </c>
      <c r="G81" s="52"/>
      <c r="H81" s="44">
        <v>8299</v>
      </c>
      <c r="I81" s="45"/>
      <c r="J81" s="44">
        <v>5000</v>
      </c>
      <c r="K81" s="45"/>
      <c r="L81" s="44">
        <v>5000</v>
      </c>
      <c r="M81" s="45"/>
      <c r="N81" s="44">
        <v>5000</v>
      </c>
      <c r="O81" s="45"/>
    </row>
    <row r="82" spans="1:15" ht="14.25" customHeight="1">
      <c r="A82" s="46">
        <v>31089</v>
      </c>
      <c r="B82" s="47"/>
      <c r="C82" s="48" t="s">
        <v>93</v>
      </c>
      <c r="D82" s="49"/>
      <c r="E82" s="50"/>
      <c r="F82" s="51" t="s">
        <v>58</v>
      </c>
      <c r="G82" s="52"/>
      <c r="H82" s="44">
        <v>12514</v>
      </c>
      <c r="I82" s="45"/>
      <c r="J82" s="44">
        <v>5000</v>
      </c>
      <c r="K82" s="45"/>
      <c r="L82" s="44">
        <v>6610</v>
      </c>
      <c r="M82" s="45"/>
      <c r="N82" s="44">
        <v>5000</v>
      </c>
      <c r="O82" s="45"/>
    </row>
    <row r="83" spans="1:15" ht="14.25" customHeight="1">
      <c r="A83" s="46">
        <v>61040</v>
      </c>
      <c r="B83" s="47"/>
      <c r="C83" s="48" t="s">
        <v>94</v>
      </c>
      <c r="D83" s="49"/>
      <c r="E83" s="50"/>
      <c r="F83" s="51" t="s">
        <v>25</v>
      </c>
      <c r="G83" s="52"/>
      <c r="H83" s="44">
        <v>11329</v>
      </c>
      <c r="I83" s="45"/>
      <c r="J83" s="44">
        <v>7000</v>
      </c>
      <c r="K83" s="45"/>
      <c r="L83" s="44">
        <v>7800</v>
      </c>
      <c r="M83" s="45"/>
      <c r="N83" s="44">
        <v>5000</v>
      </c>
      <c r="O83" s="45"/>
    </row>
    <row r="84" spans="1:15" ht="14.25" customHeight="1">
      <c r="A84" s="46">
        <v>21021</v>
      </c>
      <c r="B84" s="47"/>
      <c r="C84" s="48" t="s">
        <v>95</v>
      </c>
      <c r="D84" s="49"/>
      <c r="E84" s="50"/>
      <c r="F84" s="51" t="s">
        <v>20</v>
      </c>
      <c r="G84" s="52"/>
      <c r="H84" s="44">
        <v>9032</v>
      </c>
      <c r="I84" s="45"/>
      <c r="J84" s="44">
        <v>5000</v>
      </c>
      <c r="K84" s="45"/>
      <c r="L84" s="44">
        <v>5000</v>
      </c>
      <c r="M84" s="45"/>
      <c r="N84" s="44">
        <v>5833</v>
      </c>
      <c r="O84" s="45"/>
    </row>
    <row r="85" spans="1:15" ht="14.25" customHeight="1">
      <c r="A85" s="46">
        <v>61008</v>
      </c>
      <c r="B85" s="47"/>
      <c r="C85" s="48" t="s">
        <v>96</v>
      </c>
      <c r="D85" s="49"/>
      <c r="E85" s="50"/>
      <c r="F85" s="51" t="s">
        <v>25</v>
      </c>
      <c r="G85" s="52"/>
      <c r="H85" s="44">
        <v>5770</v>
      </c>
      <c r="I85" s="45"/>
      <c r="J85" s="44">
        <v>5000</v>
      </c>
      <c r="K85" s="45"/>
      <c r="L85" s="44">
        <v>5000</v>
      </c>
      <c r="M85" s="45"/>
      <c r="N85" s="44">
        <v>5000</v>
      </c>
      <c r="O85" s="45"/>
    </row>
    <row r="86" spans="1:15" ht="14.25" customHeight="1">
      <c r="A86" s="46">
        <v>11054</v>
      </c>
      <c r="B86" s="47"/>
      <c r="C86" s="48" t="s">
        <v>97</v>
      </c>
      <c r="D86" s="49"/>
      <c r="E86" s="50"/>
      <c r="F86" s="51" t="s">
        <v>16</v>
      </c>
      <c r="G86" s="52"/>
      <c r="H86" s="44">
        <v>8638</v>
      </c>
      <c r="I86" s="45"/>
      <c r="J86" s="44">
        <v>5000</v>
      </c>
      <c r="K86" s="45"/>
      <c r="L86" s="44">
        <v>5000</v>
      </c>
      <c r="M86" s="45"/>
      <c r="N86" s="44">
        <v>5000</v>
      </c>
      <c r="O86" s="45"/>
    </row>
    <row r="87" spans="1:15" ht="14.25" customHeight="1">
      <c r="A87" s="46">
        <v>21013</v>
      </c>
      <c r="B87" s="47"/>
      <c r="C87" s="48" t="s">
        <v>98</v>
      </c>
      <c r="D87" s="49"/>
      <c r="E87" s="50"/>
      <c r="F87" s="51" t="s">
        <v>20</v>
      </c>
      <c r="G87" s="52"/>
      <c r="H87" s="44">
        <v>8866</v>
      </c>
      <c r="I87" s="45"/>
      <c r="J87" s="44">
        <v>5000</v>
      </c>
      <c r="K87" s="45"/>
      <c r="L87" s="44">
        <v>5000</v>
      </c>
      <c r="M87" s="45"/>
      <c r="N87" s="44">
        <v>5000</v>
      </c>
      <c r="O87" s="45"/>
    </row>
    <row r="88" spans="1:15" ht="14.25" customHeight="1">
      <c r="A88" s="46">
        <v>21104</v>
      </c>
      <c r="B88" s="47"/>
      <c r="C88" s="48" t="s">
        <v>99</v>
      </c>
      <c r="D88" s="49"/>
      <c r="E88" s="50"/>
      <c r="F88" s="51" t="s">
        <v>20</v>
      </c>
      <c r="G88" s="52"/>
      <c r="H88" s="44">
        <v>11240</v>
      </c>
      <c r="I88" s="45"/>
      <c r="J88" s="44">
        <v>5000</v>
      </c>
      <c r="K88" s="45"/>
      <c r="L88" s="44">
        <v>5000</v>
      </c>
      <c r="M88" s="45"/>
      <c r="N88" s="44">
        <v>5000</v>
      </c>
      <c r="O88" s="45"/>
    </row>
    <row r="89" spans="1:15" ht="28.5" customHeight="1">
      <c r="A89" s="46">
        <v>21125</v>
      </c>
      <c r="B89" s="47"/>
      <c r="C89" s="53" t="s">
        <v>100</v>
      </c>
      <c r="D89" s="54"/>
      <c r="E89" s="55"/>
      <c r="F89" s="51" t="s">
        <v>20</v>
      </c>
      <c r="G89" s="52"/>
      <c r="H89" s="44">
        <v>9694</v>
      </c>
      <c r="I89" s="45"/>
      <c r="J89" s="44">
        <v>5000</v>
      </c>
      <c r="K89" s="45"/>
      <c r="L89" s="44">
        <v>5000</v>
      </c>
      <c r="M89" s="45"/>
      <c r="N89" s="44">
        <v>5000</v>
      </c>
      <c r="O89" s="45"/>
    </row>
    <row r="90" spans="1:15" ht="14.25" customHeight="1">
      <c r="A90" s="46">
        <v>21137</v>
      </c>
      <c r="B90" s="47"/>
      <c r="C90" s="48" t="s">
        <v>101</v>
      </c>
      <c r="D90" s="49"/>
      <c r="E90" s="50"/>
      <c r="F90" s="51" t="s">
        <v>20</v>
      </c>
      <c r="G90" s="52"/>
      <c r="H90" s="44">
        <v>7260</v>
      </c>
      <c r="I90" s="45"/>
      <c r="J90" s="44">
        <v>5000</v>
      </c>
      <c r="K90" s="45"/>
      <c r="L90" s="44">
        <v>7060</v>
      </c>
      <c r="M90" s="45"/>
      <c r="N90" s="44">
        <v>5000</v>
      </c>
      <c r="O90" s="45"/>
    </row>
    <row r="91" spans="1:15" ht="14.25" customHeight="1">
      <c r="A91" s="46">
        <v>21131</v>
      </c>
      <c r="B91" s="47"/>
      <c r="C91" s="48" t="s">
        <v>102</v>
      </c>
      <c r="D91" s="49"/>
      <c r="E91" s="50"/>
      <c r="F91" s="51" t="s">
        <v>20</v>
      </c>
      <c r="G91" s="52"/>
      <c r="H91" s="44">
        <v>7920</v>
      </c>
      <c r="I91" s="45"/>
      <c r="J91" s="44">
        <v>5000</v>
      </c>
      <c r="K91" s="45"/>
      <c r="L91" s="44">
        <v>5000</v>
      </c>
      <c r="M91" s="45"/>
      <c r="N91" s="44">
        <v>5000</v>
      </c>
      <c r="O91" s="45"/>
    </row>
    <row r="92" spans="1:15" ht="14.25" customHeight="1">
      <c r="A92" s="46">
        <v>11005</v>
      </c>
      <c r="B92" s="47"/>
      <c r="C92" s="48" t="s">
        <v>103</v>
      </c>
      <c r="D92" s="49"/>
      <c r="E92" s="50"/>
      <c r="F92" s="51" t="s">
        <v>16</v>
      </c>
      <c r="G92" s="52"/>
      <c r="H92" s="44">
        <v>9464</v>
      </c>
      <c r="I92" s="45"/>
      <c r="J92" s="44">
        <v>5000</v>
      </c>
      <c r="K92" s="45"/>
      <c r="L92" s="44">
        <v>5000</v>
      </c>
      <c r="M92" s="45"/>
      <c r="N92" s="44">
        <v>5000</v>
      </c>
      <c r="O92" s="45"/>
    </row>
    <row r="93" spans="1:15" ht="14.25" customHeight="1">
      <c r="A93" s="46">
        <v>21147</v>
      </c>
      <c r="B93" s="47"/>
      <c r="C93" s="48" t="s">
        <v>104</v>
      </c>
      <c r="D93" s="49"/>
      <c r="E93" s="50"/>
      <c r="F93" s="51" t="s">
        <v>20</v>
      </c>
      <c r="G93" s="52"/>
      <c r="H93" s="44">
        <v>8958</v>
      </c>
      <c r="I93" s="45"/>
      <c r="J93" s="44">
        <v>5000</v>
      </c>
      <c r="K93" s="45"/>
      <c r="L93" s="44">
        <v>5000</v>
      </c>
      <c r="M93" s="45"/>
      <c r="N93" s="44">
        <v>5000</v>
      </c>
      <c r="O93" s="45"/>
    </row>
    <row r="94" spans="1:15" ht="14.25" customHeight="1">
      <c r="A94" s="46">
        <v>81008</v>
      </c>
      <c r="B94" s="47"/>
      <c r="C94" s="48" t="s">
        <v>105</v>
      </c>
      <c r="D94" s="49"/>
      <c r="E94" s="50"/>
      <c r="F94" s="51" t="s">
        <v>23</v>
      </c>
      <c r="G94" s="52"/>
      <c r="H94" s="44">
        <v>6264</v>
      </c>
      <c r="I94" s="45"/>
      <c r="J94" s="44">
        <v>5000</v>
      </c>
      <c r="K94" s="45"/>
      <c r="L94" s="44">
        <v>5000</v>
      </c>
      <c r="M94" s="45"/>
      <c r="N94" s="44">
        <v>5000</v>
      </c>
      <c r="O94" s="45"/>
    </row>
    <row r="95" spans="1:15" ht="14.25" customHeight="1">
      <c r="A95" s="46">
        <v>21151</v>
      </c>
      <c r="B95" s="47"/>
      <c r="C95" s="48" t="s">
        <v>106</v>
      </c>
      <c r="D95" s="49"/>
      <c r="E95" s="50"/>
      <c r="F95" s="51" t="s">
        <v>20</v>
      </c>
      <c r="G95" s="52"/>
      <c r="H95" s="44">
        <v>8096</v>
      </c>
      <c r="I95" s="45"/>
      <c r="J95" s="44">
        <v>5000</v>
      </c>
      <c r="K95" s="45"/>
      <c r="L95" s="44">
        <v>5000</v>
      </c>
      <c r="M95" s="45"/>
      <c r="N95" s="44">
        <v>5000</v>
      </c>
      <c r="O95" s="45"/>
    </row>
    <row r="96" spans="1:15" ht="14.25" customHeight="1">
      <c r="A96" s="46">
        <v>41071</v>
      </c>
      <c r="B96" s="47"/>
      <c r="C96" s="48" t="s">
        <v>107</v>
      </c>
      <c r="D96" s="49"/>
      <c r="E96" s="50"/>
      <c r="F96" s="51" t="s">
        <v>11</v>
      </c>
      <c r="G96" s="52"/>
      <c r="H96" s="44">
        <v>12046</v>
      </c>
      <c r="I96" s="45"/>
      <c r="J96" s="44">
        <v>6188</v>
      </c>
      <c r="K96" s="45"/>
      <c r="L96" s="44">
        <v>9060</v>
      </c>
      <c r="M96" s="45"/>
      <c r="N96" s="44">
        <v>5000</v>
      </c>
      <c r="O96" s="45"/>
    </row>
    <row r="97" spans="1:15" ht="14.25" customHeight="1">
      <c r="A97" s="46">
        <v>11006</v>
      </c>
      <c r="B97" s="47"/>
      <c r="C97" s="48" t="s">
        <v>108</v>
      </c>
      <c r="D97" s="49"/>
      <c r="E97" s="50"/>
      <c r="F97" s="51" t="s">
        <v>16</v>
      </c>
      <c r="G97" s="52"/>
      <c r="H97" s="44">
        <v>12192</v>
      </c>
      <c r="I97" s="45"/>
      <c r="J97" s="44">
        <v>5313</v>
      </c>
      <c r="K97" s="45"/>
      <c r="L97" s="44">
        <v>7830</v>
      </c>
      <c r="M97" s="45"/>
      <c r="N97" s="44">
        <v>5000</v>
      </c>
      <c r="O97" s="45"/>
    </row>
    <row r="98" spans="1:15" ht="14.25" customHeight="1">
      <c r="A98" s="46">
        <v>21010</v>
      </c>
      <c r="B98" s="47"/>
      <c r="C98" s="48" t="s">
        <v>109</v>
      </c>
      <c r="D98" s="49"/>
      <c r="E98" s="50"/>
      <c r="F98" s="51" t="s">
        <v>20</v>
      </c>
      <c r="G98" s="52"/>
      <c r="H98" s="44">
        <v>12372</v>
      </c>
      <c r="I98" s="45"/>
      <c r="J98" s="44">
        <v>5813</v>
      </c>
      <c r="K98" s="45"/>
      <c r="L98" s="44">
        <v>8020</v>
      </c>
      <c r="M98" s="45"/>
      <c r="N98" s="44">
        <v>5000</v>
      </c>
      <c r="O98" s="45"/>
    </row>
    <row r="99" spans="1:15" ht="14.25" customHeight="1">
      <c r="A99" s="46">
        <v>61004</v>
      </c>
      <c r="B99" s="47"/>
      <c r="C99" s="48" t="s">
        <v>110</v>
      </c>
      <c r="D99" s="49"/>
      <c r="E99" s="50"/>
      <c r="F99" s="51" t="s">
        <v>25</v>
      </c>
      <c r="G99" s="52"/>
      <c r="H99" s="44">
        <v>11580</v>
      </c>
      <c r="I99" s="45"/>
      <c r="J99" s="44">
        <v>5000</v>
      </c>
      <c r="K99" s="45"/>
      <c r="L99" s="44">
        <v>6340</v>
      </c>
      <c r="M99" s="45"/>
      <c r="N99" s="44">
        <v>5000</v>
      </c>
      <c r="O99" s="45"/>
    </row>
    <row r="100" spans="1:15" ht="14.25" customHeight="1">
      <c r="A100" s="46">
        <v>11113</v>
      </c>
      <c r="B100" s="47"/>
      <c r="C100" s="48" t="s">
        <v>111</v>
      </c>
      <c r="D100" s="49"/>
      <c r="E100" s="50"/>
      <c r="F100" s="51" t="s">
        <v>16</v>
      </c>
      <c r="G100" s="52"/>
      <c r="H100" s="44">
        <v>5000</v>
      </c>
      <c r="I100" s="45"/>
      <c r="J100" s="44">
        <v>5000</v>
      </c>
      <c r="K100" s="45"/>
      <c r="L100" s="44">
        <v>5000</v>
      </c>
      <c r="M100" s="45"/>
      <c r="N100" s="44">
        <v>5000</v>
      </c>
      <c r="O100" s="45"/>
    </row>
    <row r="101" spans="1:15" ht="14.25" customHeight="1">
      <c r="A101" s="46">
        <v>71086</v>
      </c>
      <c r="B101" s="47"/>
      <c r="C101" s="48" t="s">
        <v>112</v>
      </c>
      <c r="D101" s="49"/>
      <c r="E101" s="50"/>
      <c r="F101" s="51" t="s">
        <v>18</v>
      </c>
      <c r="G101" s="52"/>
      <c r="H101" s="44">
        <v>6260</v>
      </c>
      <c r="I101" s="45"/>
      <c r="J101" s="44">
        <v>5000</v>
      </c>
      <c r="K101" s="45"/>
      <c r="L101" s="44">
        <v>5000</v>
      </c>
      <c r="M101" s="45"/>
      <c r="N101" s="44">
        <v>5000</v>
      </c>
      <c r="O101" s="45"/>
    </row>
    <row r="102" spans="1:15" ht="14.25" customHeight="1">
      <c r="A102" s="46">
        <v>11007</v>
      </c>
      <c r="B102" s="47"/>
      <c r="C102" s="48" t="s">
        <v>113</v>
      </c>
      <c r="D102" s="49"/>
      <c r="E102" s="50"/>
      <c r="F102" s="51" t="s">
        <v>16</v>
      </c>
      <c r="G102" s="52"/>
      <c r="H102" s="44">
        <v>10224</v>
      </c>
      <c r="I102" s="45"/>
      <c r="J102" s="44">
        <v>5719</v>
      </c>
      <c r="K102" s="45"/>
      <c r="L102" s="44">
        <v>7270</v>
      </c>
      <c r="M102" s="45"/>
      <c r="N102" s="44">
        <v>5000</v>
      </c>
      <c r="O102" s="45"/>
    </row>
    <row r="103" spans="1:15" ht="14.25" customHeight="1">
      <c r="A103" s="46">
        <v>61071</v>
      </c>
      <c r="B103" s="47"/>
      <c r="C103" s="48" t="s">
        <v>114</v>
      </c>
      <c r="D103" s="49"/>
      <c r="E103" s="50"/>
      <c r="F103" s="51" t="s">
        <v>25</v>
      </c>
      <c r="G103" s="52"/>
      <c r="H103" s="44">
        <v>9150</v>
      </c>
      <c r="I103" s="45"/>
      <c r="J103" s="44">
        <v>5000</v>
      </c>
      <c r="K103" s="45"/>
      <c r="L103" s="44">
        <v>5000</v>
      </c>
      <c r="M103" s="45"/>
      <c r="N103" s="44">
        <v>5000</v>
      </c>
      <c r="O103" s="45"/>
    </row>
    <row r="104" spans="1:15" ht="14.25" customHeight="1">
      <c r="A104" s="46">
        <v>61007</v>
      </c>
      <c r="B104" s="47"/>
      <c r="C104" s="48" t="s">
        <v>115</v>
      </c>
      <c r="D104" s="49"/>
      <c r="E104" s="50"/>
      <c r="F104" s="51" t="s">
        <v>25</v>
      </c>
      <c r="G104" s="52"/>
      <c r="H104" s="44">
        <v>9386</v>
      </c>
      <c r="I104" s="45"/>
      <c r="J104" s="44">
        <v>5000</v>
      </c>
      <c r="K104" s="45"/>
      <c r="L104" s="44">
        <v>7937</v>
      </c>
      <c r="M104" s="45"/>
      <c r="N104" s="44">
        <v>5000</v>
      </c>
      <c r="O104" s="45"/>
    </row>
    <row r="105" spans="1:15" ht="14.25" customHeight="1">
      <c r="A105" s="46">
        <v>41038</v>
      </c>
      <c r="B105" s="47"/>
      <c r="C105" s="48" t="s">
        <v>116</v>
      </c>
      <c r="D105" s="49"/>
      <c r="E105" s="50"/>
      <c r="F105" s="51" t="s">
        <v>11</v>
      </c>
      <c r="G105" s="52"/>
      <c r="H105" s="44">
        <v>8245</v>
      </c>
      <c r="I105" s="45"/>
      <c r="J105" s="44">
        <v>5000</v>
      </c>
      <c r="K105" s="45"/>
      <c r="L105" s="44">
        <v>5000</v>
      </c>
      <c r="M105" s="45"/>
      <c r="N105" s="44">
        <v>5000</v>
      </c>
      <c r="O105" s="45"/>
    </row>
    <row r="106" spans="1:15" ht="14.25" customHeight="1">
      <c r="A106" s="46">
        <v>81082</v>
      </c>
      <c r="B106" s="47"/>
      <c r="C106" s="48" t="s">
        <v>117</v>
      </c>
      <c r="D106" s="49"/>
      <c r="E106" s="50"/>
      <c r="F106" s="51" t="s">
        <v>23</v>
      </c>
      <c r="G106" s="52"/>
      <c r="H106" s="44">
        <v>5730</v>
      </c>
      <c r="I106" s="45"/>
      <c r="J106" s="44">
        <v>5000</v>
      </c>
      <c r="K106" s="45"/>
      <c r="L106" s="44">
        <v>5000</v>
      </c>
      <c r="M106" s="45"/>
      <c r="N106" s="44">
        <v>5000</v>
      </c>
      <c r="O106" s="45"/>
    </row>
    <row r="107" spans="1:15" ht="14.25" customHeight="1">
      <c r="A107" s="46">
        <v>91001</v>
      </c>
      <c r="B107" s="47"/>
      <c r="C107" s="48" t="s">
        <v>118</v>
      </c>
      <c r="D107" s="49"/>
      <c r="E107" s="50"/>
      <c r="F107" s="51" t="s">
        <v>28</v>
      </c>
      <c r="G107" s="52"/>
      <c r="H107" s="44">
        <v>7163</v>
      </c>
      <c r="I107" s="45"/>
      <c r="J107" s="44">
        <v>5000</v>
      </c>
      <c r="K107" s="45"/>
      <c r="L107" s="44">
        <v>5000</v>
      </c>
      <c r="M107" s="45"/>
      <c r="N107" s="44">
        <v>5000</v>
      </c>
      <c r="O107" s="45"/>
    </row>
    <row r="108" spans="1:15" ht="28.5" customHeight="1">
      <c r="A108" s="46">
        <v>61038</v>
      </c>
      <c r="B108" s="47"/>
      <c r="C108" s="53" t="s">
        <v>119</v>
      </c>
      <c r="D108" s="54"/>
      <c r="E108" s="55"/>
      <c r="F108" s="51" t="s">
        <v>25</v>
      </c>
      <c r="G108" s="52"/>
      <c r="H108" s="44">
        <v>8956</v>
      </c>
      <c r="I108" s="45"/>
      <c r="J108" s="44">
        <v>5000</v>
      </c>
      <c r="K108" s="45"/>
      <c r="L108" s="44">
        <v>5000</v>
      </c>
      <c r="M108" s="45"/>
      <c r="N108" s="44">
        <v>5000</v>
      </c>
      <c r="O108" s="45"/>
    </row>
    <row r="109" spans="1:15" ht="28.5" customHeight="1">
      <c r="A109" s="46">
        <v>91055</v>
      </c>
      <c r="B109" s="47"/>
      <c r="C109" s="53" t="s">
        <v>120</v>
      </c>
      <c r="D109" s="54"/>
      <c r="E109" s="55"/>
      <c r="F109" s="51" t="s">
        <v>28</v>
      </c>
      <c r="G109" s="52"/>
      <c r="H109" s="44">
        <v>5734</v>
      </c>
      <c r="I109" s="45"/>
      <c r="J109" s="44">
        <v>5000</v>
      </c>
      <c r="K109" s="45"/>
      <c r="L109" s="44">
        <v>5000</v>
      </c>
      <c r="M109" s="45"/>
      <c r="N109" s="44">
        <v>5000</v>
      </c>
      <c r="O109" s="45"/>
    </row>
    <row r="110" spans="1:15" ht="14.25" customHeight="1">
      <c r="A110" s="46">
        <v>61039</v>
      </c>
      <c r="B110" s="47"/>
      <c r="C110" s="48" t="s">
        <v>121</v>
      </c>
      <c r="D110" s="49"/>
      <c r="E110" s="50"/>
      <c r="F110" s="51" t="s">
        <v>25</v>
      </c>
      <c r="G110" s="52"/>
      <c r="H110" s="44">
        <v>11596</v>
      </c>
      <c r="I110" s="45"/>
      <c r="J110" s="44">
        <v>5000</v>
      </c>
      <c r="K110" s="45"/>
      <c r="L110" s="44">
        <v>8020</v>
      </c>
      <c r="M110" s="45"/>
      <c r="N110" s="44">
        <v>5000</v>
      </c>
      <c r="O110" s="45"/>
    </row>
    <row r="111" spans="1:15" ht="28.5" customHeight="1">
      <c r="A111" s="46">
        <v>41037</v>
      </c>
      <c r="B111" s="47"/>
      <c r="C111" s="53" t="s">
        <v>122</v>
      </c>
      <c r="D111" s="54"/>
      <c r="E111" s="55"/>
      <c r="F111" s="51" t="s">
        <v>11</v>
      </c>
      <c r="G111" s="52"/>
      <c r="H111" s="44">
        <v>8346</v>
      </c>
      <c r="I111" s="45"/>
      <c r="J111" s="44">
        <v>5000</v>
      </c>
      <c r="K111" s="45"/>
      <c r="L111" s="44">
        <v>5000</v>
      </c>
      <c r="M111" s="45"/>
      <c r="N111" s="44">
        <v>5000</v>
      </c>
      <c r="O111" s="45"/>
    </row>
    <row r="112" spans="1:15" ht="28.5" customHeight="1">
      <c r="A112" s="46">
        <v>81086</v>
      </c>
      <c r="B112" s="47"/>
      <c r="C112" s="53" t="s">
        <v>123</v>
      </c>
      <c r="D112" s="54"/>
      <c r="E112" s="55"/>
      <c r="F112" s="51" t="s">
        <v>23</v>
      </c>
      <c r="G112" s="52"/>
      <c r="H112" s="44">
        <v>6918</v>
      </c>
      <c r="I112" s="45"/>
      <c r="J112" s="44">
        <v>5000</v>
      </c>
      <c r="K112" s="45"/>
      <c r="L112" s="44">
        <v>5000</v>
      </c>
      <c r="M112" s="45"/>
      <c r="N112" s="44">
        <v>5000</v>
      </c>
      <c r="O112" s="45"/>
    </row>
    <row r="113" spans="1:15" ht="28.5" customHeight="1">
      <c r="A113" s="46">
        <v>71088</v>
      </c>
      <c r="B113" s="47"/>
      <c r="C113" s="53" t="s">
        <v>124</v>
      </c>
      <c r="D113" s="54"/>
      <c r="E113" s="55"/>
      <c r="F113" s="51" t="s">
        <v>18</v>
      </c>
      <c r="G113" s="52"/>
      <c r="H113" s="44">
        <v>6312</v>
      </c>
      <c r="I113" s="45"/>
      <c r="J113" s="44">
        <v>5000</v>
      </c>
      <c r="K113" s="45"/>
      <c r="L113" s="44">
        <v>5000</v>
      </c>
      <c r="M113" s="45"/>
      <c r="N113" s="44">
        <v>5000</v>
      </c>
      <c r="O113" s="45"/>
    </row>
    <row r="114" spans="1:15" ht="14.25" customHeight="1">
      <c r="A114" s="46">
        <v>21117</v>
      </c>
      <c r="B114" s="47"/>
      <c r="C114" s="48" t="s">
        <v>125</v>
      </c>
      <c r="D114" s="49"/>
      <c r="E114" s="50"/>
      <c r="F114" s="51" t="s">
        <v>20</v>
      </c>
      <c r="G114" s="52"/>
      <c r="H114" s="44">
        <v>5000</v>
      </c>
      <c r="I114" s="45"/>
      <c r="J114" s="44">
        <v>5000</v>
      </c>
      <c r="K114" s="45"/>
      <c r="L114" s="44">
        <v>5000</v>
      </c>
      <c r="M114" s="45"/>
      <c r="N114" s="44">
        <v>5000</v>
      </c>
      <c r="O114" s="45"/>
    </row>
    <row r="115" spans="1:15" ht="14.25" customHeight="1">
      <c r="A115" s="46">
        <v>11077</v>
      </c>
      <c r="B115" s="47"/>
      <c r="C115" s="48" t="s">
        <v>126</v>
      </c>
      <c r="D115" s="49"/>
      <c r="E115" s="50"/>
      <c r="F115" s="51" t="s">
        <v>16</v>
      </c>
      <c r="G115" s="52"/>
      <c r="H115" s="44">
        <v>10391</v>
      </c>
      <c r="I115" s="45"/>
      <c r="J115" s="44">
        <v>5000</v>
      </c>
      <c r="K115" s="45"/>
      <c r="L115" s="44">
        <v>8270</v>
      </c>
      <c r="M115" s="45"/>
      <c r="N115" s="44">
        <v>5000</v>
      </c>
      <c r="O115" s="45"/>
    </row>
    <row r="116" spans="1:15" ht="14.25" customHeight="1">
      <c r="A116" s="46">
        <v>41009</v>
      </c>
      <c r="B116" s="47"/>
      <c r="C116" s="48" t="s">
        <v>127</v>
      </c>
      <c r="D116" s="49"/>
      <c r="E116" s="50"/>
      <c r="F116" s="51" t="s">
        <v>11</v>
      </c>
      <c r="G116" s="52"/>
      <c r="H116" s="44">
        <v>11158</v>
      </c>
      <c r="I116" s="45"/>
      <c r="J116" s="44">
        <v>5000</v>
      </c>
      <c r="K116" s="45"/>
      <c r="L116" s="44">
        <v>5000</v>
      </c>
      <c r="M116" s="45"/>
      <c r="N116" s="44">
        <v>5000</v>
      </c>
      <c r="O116" s="45"/>
    </row>
    <row r="117" spans="1:15" ht="14.25" customHeight="1">
      <c r="A117" s="46">
        <v>31096</v>
      </c>
      <c r="B117" s="47"/>
      <c r="C117" s="48" t="s">
        <v>128</v>
      </c>
      <c r="D117" s="49"/>
      <c r="E117" s="50"/>
      <c r="F117" s="51" t="s">
        <v>58</v>
      </c>
      <c r="G117" s="52"/>
      <c r="H117" s="44">
        <v>7662</v>
      </c>
      <c r="I117" s="45"/>
      <c r="J117" s="44">
        <v>5000</v>
      </c>
      <c r="K117" s="45"/>
      <c r="L117" s="44">
        <v>6250</v>
      </c>
      <c r="M117" s="45"/>
      <c r="N117" s="44">
        <v>5000</v>
      </c>
      <c r="O117" s="45"/>
    </row>
    <row r="118" spans="1:15" ht="14.25" customHeight="1">
      <c r="A118" s="46">
        <v>11008</v>
      </c>
      <c r="B118" s="47"/>
      <c r="C118" s="48" t="s">
        <v>129</v>
      </c>
      <c r="D118" s="49"/>
      <c r="E118" s="50"/>
      <c r="F118" s="51" t="s">
        <v>16</v>
      </c>
      <c r="G118" s="52"/>
      <c r="H118" s="44">
        <v>8678</v>
      </c>
      <c r="I118" s="45"/>
      <c r="J118" s="44">
        <v>5000</v>
      </c>
      <c r="K118" s="45"/>
      <c r="L118" s="44">
        <v>6720</v>
      </c>
      <c r="M118" s="45"/>
      <c r="N118" s="44">
        <v>6000</v>
      </c>
      <c r="O118" s="45"/>
    </row>
    <row r="119" spans="1:15" ht="14.25" customHeight="1">
      <c r="A119" s="46">
        <v>41010</v>
      </c>
      <c r="B119" s="47"/>
      <c r="C119" s="48" t="s">
        <v>129</v>
      </c>
      <c r="D119" s="49"/>
      <c r="E119" s="50"/>
      <c r="F119" s="51" t="s">
        <v>11</v>
      </c>
      <c r="G119" s="52"/>
      <c r="H119" s="44">
        <v>9082</v>
      </c>
      <c r="I119" s="45"/>
      <c r="J119" s="44">
        <v>5000</v>
      </c>
      <c r="K119" s="45"/>
      <c r="L119" s="44">
        <v>5000</v>
      </c>
      <c r="M119" s="45"/>
      <c r="N119" s="44">
        <v>5000</v>
      </c>
      <c r="O119" s="45"/>
    </row>
    <row r="120" spans="1:15" ht="14.25" customHeight="1">
      <c r="A120" s="46">
        <v>81010</v>
      </c>
      <c r="B120" s="47"/>
      <c r="C120" s="48" t="s">
        <v>130</v>
      </c>
      <c r="D120" s="49"/>
      <c r="E120" s="50"/>
      <c r="F120" s="51" t="s">
        <v>23</v>
      </c>
      <c r="G120" s="52"/>
      <c r="H120" s="44">
        <v>7578</v>
      </c>
      <c r="I120" s="45"/>
      <c r="J120" s="44">
        <v>5000</v>
      </c>
      <c r="K120" s="45"/>
      <c r="L120" s="44">
        <v>5000</v>
      </c>
      <c r="M120" s="45"/>
      <c r="N120" s="44">
        <v>5000</v>
      </c>
      <c r="O120" s="45"/>
    </row>
    <row r="121" spans="1:15" ht="14.25" customHeight="1">
      <c r="A121" s="46">
        <v>11065</v>
      </c>
      <c r="B121" s="47"/>
      <c r="C121" s="48" t="s">
        <v>131</v>
      </c>
      <c r="D121" s="49"/>
      <c r="E121" s="50"/>
      <c r="F121" s="51" t="s">
        <v>16</v>
      </c>
      <c r="G121" s="52"/>
      <c r="H121" s="44">
        <v>11475</v>
      </c>
      <c r="I121" s="45"/>
      <c r="J121" s="44">
        <v>7250</v>
      </c>
      <c r="K121" s="45"/>
      <c r="L121" s="44">
        <v>6510</v>
      </c>
      <c r="M121" s="45"/>
      <c r="N121" s="44">
        <v>5333</v>
      </c>
      <c r="O121" s="45"/>
    </row>
    <row r="122" spans="1:15" ht="14.25" customHeight="1">
      <c r="A122" s="46">
        <v>81054</v>
      </c>
      <c r="B122" s="47"/>
      <c r="C122" s="48" t="s">
        <v>132</v>
      </c>
      <c r="D122" s="49"/>
      <c r="E122" s="50"/>
      <c r="F122" s="51" t="s">
        <v>23</v>
      </c>
      <c r="G122" s="52"/>
      <c r="H122" s="44">
        <v>9556</v>
      </c>
      <c r="I122" s="45"/>
      <c r="J122" s="44">
        <v>5000</v>
      </c>
      <c r="K122" s="45"/>
      <c r="L122" s="44">
        <v>5000</v>
      </c>
      <c r="M122" s="45"/>
      <c r="N122" s="44">
        <v>5000</v>
      </c>
      <c r="O122" s="45"/>
    </row>
    <row r="123" spans="1:15" ht="14.25" customHeight="1">
      <c r="A123" s="46">
        <v>11105</v>
      </c>
      <c r="B123" s="47"/>
      <c r="C123" s="48" t="s">
        <v>133</v>
      </c>
      <c r="D123" s="49"/>
      <c r="E123" s="50"/>
      <c r="F123" s="51" t="s">
        <v>16</v>
      </c>
      <c r="G123" s="52"/>
      <c r="H123" s="44">
        <v>5000</v>
      </c>
      <c r="I123" s="45"/>
      <c r="J123" s="44">
        <v>5000</v>
      </c>
      <c r="K123" s="45"/>
      <c r="L123" s="44">
        <v>5000</v>
      </c>
      <c r="M123" s="45"/>
      <c r="N123" s="44">
        <v>5000</v>
      </c>
      <c r="O123" s="45"/>
    </row>
    <row r="124" spans="1:15" ht="14.25" customHeight="1">
      <c r="A124" s="46">
        <v>81011</v>
      </c>
      <c r="B124" s="47"/>
      <c r="C124" s="48" t="s">
        <v>134</v>
      </c>
      <c r="D124" s="49"/>
      <c r="E124" s="50"/>
      <c r="F124" s="51" t="s">
        <v>23</v>
      </c>
      <c r="G124" s="52"/>
      <c r="H124" s="44">
        <v>7872</v>
      </c>
      <c r="I124" s="45"/>
      <c r="J124" s="44">
        <v>5000</v>
      </c>
      <c r="K124" s="45"/>
      <c r="L124" s="44">
        <v>5000</v>
      </c>
      <c r="M124" s="45"/>
      <c r="N124" s="44">
        <v>5000</v>
      </c>
      <c r="O124" s="45"/>
    </row>
    <row r="125" spans="1:15" ht="14.25" customHeight="1">
      <c r="A125" s="46">
        <v>21084</v>
      </c>
      <c r="B125" s="47"/>
      <c r="C125" s="48" t="s">
        <v>135</v>
      </c>
      <c r="D125" s="49"/>
      <c r="E125" s="50"/>
      <c r="F125" s="51" t="s">
        <v>20</v>
      </c>
      <c r="G125" s="52"/>
      <c r="H125" s="44">
        <v>8648</v>
      </c>
      <c r="I125" s="45"/>
      <c r="J125" s="44">
        <v>5000</v>
      </c>
      <c r="K125" s="45"/>
      <c r="L125" s="44">
        <v>5000</v>
      </c>
      <c r="M125" s="45"/>
      <c r="N125" s="44">
        <v>5000</v>
      </c>
      <c r="O125" s="45"/>
    </row>
    <row r="126" spans="1:15" ht="14.25" customHeight="1">
      <c r="A126" s="46">
        <v>11097</v>
      </c>
      <c r="B126" s="47"/>
      <c r="C126" s="48" t="s">
        <v>136</v>
      </c>
      <c r="D126" s="49"/>
      <c r="E126" s="50"/>
      <c r="F126" s="51" t="s">
        <v>16</v>
      </c>
      <c r="G126" s="52"/>
      <c r="H126" s="44">
        <v>11286</v>
      </c>
      <c r="I126" s="45"/>
      <c r="J126" s="44">
        <v>5188</v>
      </c>
      <c r="K126" s="45"/>
      <c r="L126" s="44">
        <v>5000</v>
      </c>
      <c r="M126" s="45"/>
      <c r="N126" s="44">
        <v>6167</v>
      </c>
      <c r="O126" s="45"/>
    </row>
    <row r="127" spans="1:15" ht="14.25" customHeight="1">
      <c r="A127" s="46">
        <v>41002</v>
      </c>
      <c r="B127" s="47"/>
      <c r="C127" s="48" t="s">
        <v>136</v>
      </c>
      <c r="D127" s="49"/>
      <c r="E127" s="50"/>
      <c r="F127" s="51" t="s">
        <v>11</v>
      </c>
      <c r="G127" s="52"/>
      <c r="H127" s="44">
        <v>11659</v>
      </c>
      <c r="I127" s="45"/>
      <c r="J127" s="44">
        <v>6625</v>
      </c>
      <c r="K127" s="45"/>
      <c r="L127" s="44">
        <v>5000</v>
      </c>
      <c r="M127" s="45"/>
      <c r="N127" s="44">
        <v>5000</v>
      </c>
      <c r="O127" s="45"/>
    </row>
    <row r="128" spans="1:15" ht="14.25" customHeight="1">
      <c r="A128" s="46">
        <v>21085</v>
      </c>
      <c r="B128" s="47"/>
      <c r="C128" s="48" t="s">
        <v>137</v>
      </c>
      <c r="D128" s="49"/>
      <c r="E128" s="50"/>
      <c r="F128" s="51" t="s">
        <v>20</v>
      </c>
      <c r="G128" s="52"/>
      <c r="H128" s="44">
        <v>10832</v>
      </c>
      <c r="I128" s="45"/>
      <c r="J128" s="44">
        <v>6375</v>
      </c>
      <c r="K128" s="45"/>
      <c r="L128" s="44">
        <v>5000</v>
      </c>
      <c r="M128" s="45"/>
      <c r="N128" s="44">
        <v>5500</v>
      </c>
      <c r="O128" s="45"/>
    </row>
    <row r="129" spans="1:15" ht="14.25" customHeight="1">
      <c r="A129" s="46">
        <v>71007</v>
      </c>
      <c r="B129" s="47"/>
      <c r="C129" s="48" t="s">
        <v>138</v>
      </c>
      <c r="D129" s="49"/>
      <c r="E129" s="50"/>
      <c r="F129" s="51" t="s">
        <v>18</v>
      </c>
      <c r="G129" s="52"/>
      <c r="H129" s="44">
        <v>9712</v>
      </c>
      <c r="I129" s="45"/>
      <c r="J129" s="44">
        <v>5000</v>
      </c>
      <c r="K129" s="45"/>
      <c r="L129" s="44">
        <v>6810</v>
      </c>
      <c r="M129" s="45"/>
      <c r="N129" s="44">
        <v>5000</v>
      </c>
      <c r="O129" s="45"/>
    </row>
    <row r="130" spans="1:15" ht="14.25" customHeight="1">
      <c r="A130" s="46">
        <v>91006</v>
      </c>
      <c r="B130" s="47"/>
      <c r="C130" s="48" t="s">
        <v>139</v>
      </c>
      <c r="D130" s="49"/>
      <c r="E130" s="50"/>
      <c r="F130" s="51" t="s">
        <v>28</v>
      </c>
      <c r="G130" s="52"/>
      <c r="H130" s="44">
        <v>5000</v>
      </c>
      <c r="I130" s="45"/>
      <c r="J130" s="44">
        <v>5000</v>
      </c>
      <c r="K130" s="45"/>
      <c r="L130" s="44">
        <v>5000</v>
      </c>
      <c r="M130" s="45"/>
      <c r="N130" s="44">
        <v>5000</v>
      </c>
      <c r="O130" s="45"/>
    </row>
    <row r="131" spans="1:15" ht="28.5" customHeight="1">
      <c r="A131" s="46">
        <v>11098</v>
      </c>
      <c r="B131" s="47"/>
      <c r="C131" s="53" t="s">
        <v>140</v>
      </c>
      <c r="D131" s="54"/>
      <c r="E131" s="55"/>
      <c r="F131" s="51" t="s">
        <v>16</v>
      </c>
      <c r="G131" s="52"/>
      <c r="H131" s="44">
        <v>10088</v>
      </c>
      <c r="I131" s="45"/>
      <c r="J131" s="44">
        <v>5000</v>
      </c>
      <c r="K131" s="45"/>
      <c r="L131" s="44">
        <v>5000</v>
      </c>
      <c r="M131" s="45"/>
      <c r="N131" s="44">
        <v>5000</v>
      </c>
      <c r="O131" s="45"/>
    </row>
    <row r="132" spans="1:15" ht="14.25" customHeight="1">
      <c r="A132" s="46">
        <v>81005</v>
      </c>
      <c r="B132" s="47"/>
      <c r="C132" s="48" t="s">
        <v>141</v>
      </c>
      <c r="D132" s="49"/>
      <c r="E132" s="50"/>
      <c r="F132" s="51" t="s">
        <v>23</v>
      </c>
      <c r="G132" s="52"/>
      <c r="H132" s="44">
        <v>5000</v>
      </c>
      <c r="I132" s="45"/>
      <c r="J132" s="44">
        <v>5000</v>
      </c>
      <c r="K132" s="45"/>
      <c r="L132" s="44">
        <v>5000</v>
      </c>
      <c r="M132" s="45"/>
      <c r="N132" s="44">
        <v>5000</v>
      </c>
      <c r="O132" s="45"/>
    </row>
    <row r="133" spans="1:15" ht="14.25" customHeight="1">
      <c r="A133" s="46">
        <v>81067</v>
      </c>
      <c r="B133" s="47"/>
      <c r="C133" s="48" t="s">
        <v>142</v>
      </c>
      <c r="D133" s="49"/>
      <c r="E133" s="50"/>
      <c r="F133" s="51" t="s">
        <v>23</v>
      </c>
      <c r="G133" s="52"/>
      <c r="H133" s="44">
        <v>5000</v>
      </c>
      <c r="I133" s="45"/>
      <c r="J133" s="44">
        <v>5000</v>
      </c>
      <c r="K133" s="45"/>
      <c r="L133" s="44">
        <v>5000</v>
      </c>
      <c r="M133" s="45"/>
      <c r="N133" s="44">
        <v>5000</v>
      </c>
      <c r="O133" s="45"/>
    </row>
    <row r="134" spans="1:15" ht="14.25" customHeight="1">
      <c r="A134" s="46">
        <v>81068</v>
      </c>
      <c r="B134" s="47"/>
      <c r="C134" s="48" t="s">
        <v>143</v>
      </c>
      <c r="D134" s="49"/>
      <c r="E134" s="50"/>
      <c r="F134" s="51" t="s">
        <v>23</v>
      </c>
      <c r="G134" s="52"/>
      <c r="H134" s="44">
        <v>5000</v>
      </c>
      <c r="I134" s="45"/>
      <c r="J134" s="44">
        <v>5000</v>
      </c>
      <c r="K134" s="45"/>
      <c r="L134" s="44">
        <v>5000</v>
      </c>
      <c r="M134" s="45"/>
      <c r="N134" s="44">
        <v>6667</v>
      </c>
      <c r="O134" s="45"/>
    </row>
    <row r="135" spans="1:15" ht="14.25" customHeight="1">
      <c r="A135" s="46">
        <v>21121</v>
      </c>
      <c r="B135" s="47"/>
      <c r="C135" s="48" t="s">
        <v>144</v>
      </c>
      <c r="D135" s="49"/>
      <c r="E135" s="50"/>
      <c r="F135" s="51" t="s">
        <v>20</v>
      </c>
      <c r="G135" s="52"/>
      <c r="H135" s="44">
        <v>9390</v>
      </c>
      <c r="I135" s="45"/>
      <c r="J135" s="44">
        <v>5000</v>
      </c>
      <c r="K135" s="45"/>
      <c r="L135" s="44">
        <v>5000</v>
      </c>
      <c r="M135" s="45"/>
      <c r="N135" s="44">
        <v>5000</v>
      </c>
      <c r="O135" s="45"/>
    </row>
    <row r="136" spans="1:15" ht="14.25" customHeight="1">
      <c r="A136" s="46">
        <v>11117</v>
      </c>
      <c r="B136" s="47"/>
      <c r="C136" s="48" t="s">
        <v>145</v>
      </c>
      <c r="D136" s="49"/>
      <c r="E136" s="50"/>
      <c r="F136" s="51" t="s">
        <v>16</v>
      </c>
      <c r="G136" s="52"/>
      <c r="H136" s="44">
        <v>9125</v>
      </c>
      <c r="I136" s="45"/>
      <c r="J136" s="44">
        <v>5000</v>
      </c>
      <c r="K136" s="45"/>
      <c r="L136" s="44">
        <v>5000</v>
      </c>
      <c r="M136" s="45"/>
      <c r="N136" s="44">
        <v>7667</v>
      </c>
      <c r="O136" s="45"/>
    </row>
    <row r="137" spans="1:15" ht="14.25" customHeight="1">
      <c r="A137" s="46">
        <v>61009</v>
      </c>
      <c r="B137" s="47"/>
      <c r="C137" s="48" t="s">
        <v>146</v>
      </c>
      <c r="D137" s="49"/>
      <c r="E137" s="50"/>
      <c r="F137" s="51" t="s">
        <v>25</v>
      </c>
      <c r="G137" s="52"/>
      <c r="H137" s="44">
        <v>6394</v>
      </c>
      <c r="I137" s="45"/>
      <c r="J137" s="44">
        <v>5000</v>
      </c>
      <c r="K137" s="45"/>
      <c r="L137" s="44">
        <v>5000</v>
      </c>
      <c r="M137" s="45"/>
      <c r="N137" s="44">
        <v>5000</v>
      </c>
      <c r="O137" s="45"/>
    </row>
    <row r="138" spans="1:15" ht="14.25" customHeight="1">
      <c r="A138" s="46">
        <v>21126</v>
      </c>
      <c r="B138" s="47"/>
      <c r="C138" s="48" t="s">
        <v>147</v>
      </c>
      <c r="D138" s="49"/>
      <c r="E138" s="50"/>
      <c r="F138" s="51" t="s">
        <v>20</v>
      </c>
      <c r="G138" s="52"/>
      <c r="H138" s="44">
        <v>7854</v>
      </c>
      <c r="I138" s="45"/>
      <c r="J138" s="44">
        <v>5000</v>
      </c>
      <c r="K138" s="45"/>
      <c r="L138" s="44">
        <v>5000</v>
      </c>
      <c r="M138" s="45"/>
      <c r="N138" s="44">
        <v>5000</v>
      </c>
      <c r="O138" s="45"/>
    </row>
    <row r="139" spans="1:15" ht="14.25" customHeight="1">
      <c r="A139" s="46">
        <v>11100</v>
      </c>
      <c r="B139" s="47"/>
      <c r="C139" s="48" t="s">
        <v>148</v>
      </c>
      <c r="D139" s="49"/>
      <c r="E139" s="50"/>
      <c r="F139" s="51" t="s">
        <v>16</v>
      </c>
      <c r="G139" s="52"/>
      <c r="H139" s="44">
        <v>7020</v>
      </c>
      <c r="I139" s="45"/>
      <c r="J139" s="44">
        <v>5000</v>
      </c>
      <c r="K139" s="45"/>
      <c r="L139" s="44">
        <v>8900</v>
      </c>
      <c r="M139" s="45"/>
      <c r="N139" s="44">
        <v>5000</v>
      </c>
      <c r="O139" s="45"/>
    </row>
    <row r="140" spans="1:15" ht="14.25" customHeight="1">
      <c r="A140" s="46">
        <v>61042</v>
      </c>
      <c r="B140" s="47"/>
      <c r="C140" s="48" t="s">
        <v>149</v>
      </c>
      <c r="D140" s="49"/>
      <c r="E140" s="50"/>
      <c r="F140" s="51" t="s">
        <v>25</v>
      </c>
      <c r="G140" s="52"/>
      <c r="H140" s="44">
        <v>5000</v>
      </c>
      <c r="I140" s="45"/>
      <c r="J140" s="44">
        <v>5000</v>
      </c>
      <c r="K140" s="45"/>
      <c r="L140" s="44">
        <v>7680</v>
      </c>
      <c r="M140" s="45"/>
      <c r="N140" s="44">
        <v>5000</v>
      </c>
      <c r="O140" s="45"/>
    </row>
    <row r="141" spans="1:15" ht="14.25" customHeight="1">
      <c r="A141" s="46">
        <v>11010</v>
      </c>
      <c r="B141" s="47"/>
      <c r="C141" s="48" t="s">
        <v>150</v>
      </c>
      <c r="D141" s="49"/>
      <c r="E141" s="50"/>
      <c r="F141" s="51" t="s">
        <v>16</v>
      </c>
      <c r="G141" s="52"/>
      <c r="H141" s="44">
        <v>9783</v>
      </c>
      <c r="I141" s="45"/>
      <c r="J141" s="44">
        <v>5700</v>
      </c>
      <c r="K141" s="45"/>
      <c r="L141" s="44">
        <v>7100</v>
      </c>
      <c r="M141" s="45"/>
      <c r="N141" s="44">
        <v>5000</v>
      </c>
      <c r="O141" s="45"/>
    </row>
    <row r="142" spans="1:15" ht="14.25" customHeight="1">
      <c r="A142" s="46">
        <v>91050</v>
      </c>
      <c r="B142" s="47"/>
      <c r="C142" s="48" t="s">
        <v>151</v>
      </c>
      <c r="D142" s="49"/>
      <c r="E142" s="50"/>
      <c r="F142" s="51" t="s">
        <v>28</v>
      </c>
      <c r="G142" s="52"/>
      <c r="H142" s="44">
        <v>5000</v>
      </c>
      <c r="I142" s="45"/>
      <c r="J142" s="44">
        <v>5000</v>
      </c>
      <c r="K142" s="45"/>
      <c r="L142" s="44">
        <v>5000</v>
      </c>
      <c r="M142" s="45"/>
      <c r="N142" s="44">
        <v>5000</v>
      </c>
      <c r="O142" s="45"/>
    </row>
    <row r="143" spans="1:15" ht="14.25" customHeight="1">
      <c r="A143" s="46">
        <v>21068</v>
      </c>
      <c r="B143" s="47"/>
      <c r="C143" s="48" t="s">
        <v>152</v>
      </c>
      <c r="D143" s="49"/>
      <c r="E143" s="50"/>
      <c r="F143" s="51" t="s">
        <v>20</v>
      </c>
      <c r="G143" s="52"/>
      <c r="H143" s="44">
        <v>9509</v>
      </c>
      <c r="I143" s="45"/>
      <c r="J143" s="44">
        <v>5000</v>
      </c>
      <c r="K143" s="45"/>
      <c r="L143" s="44">
        <v>5000</v>
      </c>
      <c r="M143" s="45"/>
      <c r="N143" s="44">
        <v>5000</v>
      </c>
      <c r="O143" s="45"/>
    </row>
    <row r="144" spans="1:15" ht="14.25" customHeight="1">
      <c r="A144" s="46">
        <v>81013</v>
      </c>
      <c r="B144" s="47"/>
      <c r="C144" s="48" t="s">
        <v>153</v>
      </c>
      <c r="D144" s="49"/>
      <c r="E144" s="50"/>
      <c r="F144" s="51" t="s">
        <v>23</v>
      </c>
      <c r="G144" s="52"/>
      <c r="H144" s="44">
        <v>8604</v>
      </c>
      <c r="I144" s="45"/>
      <c r="J144" s="44">
        <v>6750</v>
      </c>
      <c r="K144" s="45"/>
      <c r="L144" s="44">
        <v>5000</v>
      </c>
      <c r="M144" s="45"/>
      <c r="N144" s="44">
        <v>5000</v>
      </c>
      <c r="O144" s="45"/>
    </row>
    <row r="145" spans="1:15" ht="14.25" customHeight="1">
      <c r="A145" s="46">
        <v>21108</v>
      </c>
      <c r="B145" s="47"/>
      <c r="C145" s="48" t="s">
        <v>154</v>
      </c>
      <c r="D145" s="49"/>
      <c r="E145" s="50"/>
      <c r="F145" s="51" t="s">
        <v>20</v>
      </c>
      <c r="G145" s="52"/>
      <c r="H145" s="44">
        <v>10866</v>
      </c>
      <c r="I145" s="45"/>
      <c r="J145" s="44">
        <v>5094</v>
      </c>
      <c r="K145" s="45"/>
      <c r="L145" s="44">
        <v>6790</v>
      </c>
      <c r="M145" s="45"/>
      <c r="N145" s="44">
        <v>5000</v>
      </c>
      <c r="O145" s="45"/>
    </row>
    <row r="146" spans="1:15" ht="14.25" customHeight="1">
      <c r="A146" s="46">
        <v>81056</v>
      </c>
      <c r="B146" s="47"/>
      <c r="C146" s="48" t="s">
        <v>155</v>
      </c>
      <c r="D146" s="49"/>
      <c r="E146" s="50"/>
      <c r="F146" s="51" t="s">
        <v>23</v>
      </c>
      <c r="G146" s="52"/>
      <c r="H146" s="44">
        <v>9300</v>
      </c>
      <c r="I146" s="45"/>
      <c r="J146" s="44">
        <v>5000</v>
      </c>
      <c r="K146" s="45"/>
      <c r="L146" s="44">
        <v>8160</v>
      </c>
      <c r="M146" s="45"/>
      <c r="N146" s="44">
        <v>5000</v>
      </c>
      <c r="O146" s="45"/>
    </row>
    <row r="147" spans="1:15" ht="14.25" customHeight="1">
      <c r="A147" s="46">
        <v>41011</v>
      </c>
      <c r="B147" s="47"/>
      <c r="C147" s="48" t="s">
        <v>156</v>
      </c>
      <c r="D147" s="49"/>
      <c r="E147" s="50"/>
      <c r="F147" s="51" t="s">
        <v>11</v>
      </c>
      <c r="G147" s="52"/>
      <c r="H147" s="44">
        <v>9334</v>
      </c>
      <c r="I147" s="45"/>
      <c r="J147" s="44">
        <v>5250</v>
      </c>
      <c r="K147" s="45"/>
      <c r="L147" s="44">
        <v>5000</v>
      </c>
      <c r="M147" s="45"/>
      <c r="N147" s="44">
        <v>5000</v>
      </c>
      <c r="O147" s="45"/>
    </row>
    <row r="148" spans="1:15" ht="28.5" customHeight="1">
      <c r="A148" s="46">
        <v>41043</v>
      </c>
      <c r="B148" s="47"/>
      <c r="C148" s="53" t="s">
        <v>157</v>
      </c>
      <c r="D148" s="54"/>
      <c r="E148" s="55"/>
      <c r="F148" s="51" t="s">
        <v>11</v>
      </c>
      <c r="G148" s="52"/>
      <c r="H148" s="44">
        <v>10776</v>
      </c>
      <c r="I148" s="45"/>
      <c r="J148" s="44">
        <v>5000</v>
      </c>
      <c r="K148" s="45"/>
      <c r="L148" s="44">
        <v>8320</v>
      </c>
      <c r="M148" s="45"/>
      <c r="N148" s="44">
        <v>5000</v>
      </c>
      <c r="O148" s="45"/>
    </row>
    <row r="149" spans="1:15" ht="14.25" customHeight="1">
      <c r="A149" s="46">
        <v>81083</v>
      </c>
      <c r="B149" s="47"/>
      <c r="C149" s="48" t="s">
        <v>158</v>
      </c>
      <c r="D149" s="49"/>
      <c r="E149" s="50"/>
      <c r="F149" s="51" t="s">
        <v>23</v>
      </c>
      <c r="G149" s="52"/>
      <c r="H149" s="44">
        <v>5000</v>
      </c>
      <c r="I149" s="45"/>
      <c r="J149" s="44">
        <v>5000</v>
      </c>
      <c r="K149" s="45"/>
      <c r="L149" s="44">
        <v>5000</v>
      </c>
      <c r="M149" s="45"/>
      <c r="N149" s="44">
        <v>5000</v>
      </c>
      <c r="O149" s="45"/>
    </row>
    <row r="150" spans="1:15" ht="14.25" customHeight="1">
      <c r="A150" s="46">
        <v>21107</v>
      </c>
      <c r="B150" s="47"/>
      <c r="C150" s="48" t="s">
        <v>159</v>
      </c>
      <c r="D150" s="49"/>
      <c r="E150" s="50"/>
      <c r="F150" s="51" t="s">
        <v>20</v>
      </c>
      <c r="G150" s="52"/>
      <c r="H150" s="44">
        <v>5000</v>
      </c>
      <c r="I150" s="45"/>
      <c r="J150" s="44">
        <v>5000</v>
      </c>
      <c r="K150" s="45"/>
      <c r="L150" s="44">
        <v>5000</v>
      </c>
      <c r="M150" s="45"/>
      <c r="N150" s="44">
        <v>5000</v>
      </c>
      <c r="O150" s="45"/>
    </row>
    <row r="151" spans="1:15" ht="14.25" customHeight="1">
      <c r="A151" s="46">
        <v>11114</v>
      </c>
      <c r="B151" s="47"/>
      <c r="C151" s="48" t="s">
        <v>160</v>
      </c>
      <c r="D151" s="49"/>
      <c r="E151" s="50"/>
      <c r="F151" s="51" t="s">
        <v>16</v>
      </c>
      <c r="G151" s="52"/>
      <c r="H151" s="44">
        <v>5000</v>
      </c>
      <c r="I151" s="45"/>
      <c r="J151" s="44">
        <v>5000</v>
      </c>
      <c r="K151" s="45"/>
      <c r="L151" s="44">
        <v>5000</v>
      </c>
      <c r="M151" s="45"/>
      <c r="N151" s="44">
        <v>5000</v>
      </c>
      <c r="O151" s="45"/>
    </row>
    <row r="152" spans="1:15" ht="14.25" customHeight="1">
      <c r="A152" s="46">
        <v>71085</v>
      </c>
      <c r="B152" s="47"/>
      <c r="C152" s="48" t="s">
        <v>161</v>
      </c>
      <c r="D152" s="49"/>
      <c r="E152" s="50"/>
      <c r="F152" s="51" t="s">
        <v>18</v>
      </c>
      <c r="G152" s="52"/>
      <c r="H152" s="44">
        <v>5000</v>
      </c>
      <c r="I152" s="45"/>
      <c r="J152" s="44">
        <v>5000</v>
      </c>
      <c r="K152" s="45"/>
      <c r="L152" s="44">
        <v>5000</v>
      </c>
      <c r="M152" s="45"/>
      <c r="N152" s="44">
        <v>5000</v>
      </c>
      <c r="O152" s="45"/>
    </row>
    <row r="153" spans="1:15" ht="29" customHeight="1">
      <c r="A153" s="88" t="s">
        <v>3</v>
      </c>
      <c r="B153" s="88"/>
      <c r="C153" s="89" t="s">
        <v>4</v>
      </c>
      <c r="D153" s="89"/>
      <c r="E153" s="89"/>
      <c r="F153" s="88" t="s">
        <v>5</v>
      </c>
      <c r="G153" s="88"/>
      <c r="H153" s="90" t="s">
        <v>6</v>
      </c>
      <c r="I153" s="90"/>
      <c r="J153" s="88" t="s">
        <v>7</v>
      </c>
      <c r="K153" s="88"/>
      <c r="L153" s="88" t="s">
        <v>8</v>
      </c>
      <c r="M153" s="88"/>
      <c r="N153" s="88" t="s">
        <v>9</v>
      </c>
      <c r="O153" s="88"/>
    </row>
    <row r="154" spans="1:15" ht="28.5" customHeight="1">
      <c r="A154" s="46">
        <v>11110</v>
      </c>
      <c r="B154" s="47"/>
      <c r="C154" s="53" t="s">
        <v>162</v>
      </c>
      <c r="D154" s="54"/>
      <c r="E154" s="55"/>
      <c r="F154" s="51" t="s">
        <v>16</v>
      </c>
      <c r="G154" s="52"/>
      <c r="H154" s="44">
        <v>5000</v>
      </c>
      <c r="I154" s="45"/>
      <c r="J154" s="44">
        <v>5000</v>
      </c>
      <c r="K154" s="45"/>
      <c r="L154" s="44">
        <v>5000</v>
      </c>
      <c r="M154" s="45"/>
      <c r="N154" s="44">
        <v>5000</v>
      </c>
      <c r="O154" s="45"/>
    </row>
    <row r="155" spans="1:15" ht="14.25" customHeight="1">
      <c r="A155" s="46">
        <v>11101</v>
      </c>
      <c r="B155" s="47"/>
      <c r="C155" s="48" t="s">
        <v>163</v>
      </c>
      <c r="D155" s="49"/>
      <c r="E155" s="50"/>
      <c r="F155" s="51" t="s">
        <v>16</v>
      </c>
      <c r="G155" s="52"/>
      <c r="H155" s="44">
        <v>10700</v>
      </c>
      <c r="I155" s="45"/>
      <c r="J155" s="44">
        <v>8125</v>
      </c>
      <c r="K155" s="45"/>
      <c r="L155" s="44">
        <v>5000</v>
      </c>
      <c r="M155" s="45"/>
      <c r="N155" s="44">
        <v>7167</v>
      </c>
      <c r="O155" s="45"/>
    </row>
    <row r="156" spans="1:15" ht="14.25" customHeight="1">
      <c r="A156" s="46">
        <v>91007</v>
      </c>
      <c r="B156" s="47"/>
      <c r="C156" s="48" t="s">
        <v>164</v>
      </c>
      <c r="D156" s="49"/>
      <c r="E156" s="50"/>
      <c r="F156" s="51" t="s">
        <v>28</v>
      </c>
      <c r="G156" s="52"/>
      <c r="H156" s="44">
        <v>5000</v>
      </c>
      <c r="I156" s="45"/>
      <c r="J156" s="44">
        <v>5000</v>
      </c>
      <c r="K156" s="45"/>
      <c r="L156" s="44">
        <v>5000</v>
      </c>
      <c r="M156" s="45"/>
      <c r="N156" s="44">
        <v>5000</v>
      </c>
      <c r="O156" s="45"/>
    </row>
    <row r="157" spans="1:15" ht="14.25" customHeight="1">
      <c r="A157" s="46">
        <v>21015</v>
      </c>
      <c r="B157" s="47"/>
      <c r="C157" s="48" t="s">
        <v>165</v>
      </c>
      <c r="D157" s="49"/>
      <c r="E157" s="50"/>
      <c r="F157" s="51" t="s">
        <v>20</v>
      </c>
      <c r="G157" s="52"/>
      <c r="H157" s="44">
        <v>5000</v>
      </c>
      <c r="I157" s="45"/>
      <c r="J157" s="44">
        <v>5000</v>
      </c>
      <c r="K157" s="45"/>
      <c r="L157" s="44">
        <v>5000</v>
      </c>
      <c r="M157" s="45"/>
      <c r="N157" s="44">
        <v>5000</v>
      </c>
      <c r="O157" s="45"/>
    </row>
    <row r="158" spans="1:15" ht="14.25" customHeight="1">
      <c r="A158" s="46">
        <v>61064</v>
      </c>
      <c r="B158" s="47"/>
      <c r="C158" s="48" t="s">
        <v>166</v>
      </c>
      <c r="D158" s="49"/>
      <c r="E158" s="50"/>
      <c r="F158" s="51" t="s">
        <v>25</v>
      </c>
      <c r="G158" s="52"/>
      <c r="H158" s="44">
        <v>8398</v>
      </c>
      <c r="I158" s="45"/>
      <c r="J158" s="44">
        <v>5000</v>
      </c>
      <c r="K158" s="45"/>
      <c r="L158" s="44">
        <v>5000</v>
      </c>
      <c r="M158" s="45"/>
      <c r="N158" s="44">
        <v>5000</v>
      </c>
      <c r="O158" s="45"/>
    </row>
    <row r="159" spans="1:15" ht="14.25" customHeight="1">
      <c r="A159" s="46">
        <v>31121</v>
      </c>
      <c r="B159" s="47"/>
      <c r="C159" s="48" t="s">
        <v>167</v>
      </c>
      <c r="D159" s="49"/>
      <c r="E159" s="50"/>
      <c r="F159" s="51" t="s">
        <v>58</v>
      </c>
      <c r="G159" s="52"/>
      <c r="H159" s="44">
        <v>5000</v>
      </c>
      <c r="I159" s="45"/>
      <c r="J159" s="44">
        <v>5000</v>
      </c>
      <c r="K159" s="45"/>
      <c r="L159" s="44">
        <v>5000</v>
      </c>
      <c r="M159" s="45"/>
      <c r="N159" s="44">
        <v>5000</v>
      </c>
      <c r="O159" s="45"/>
    </row>
    <row r="160" spans="1:15" ht="28.5" customHeight="1">
      <c r="A160" s="46">
        <v>31083</v>
      </c>
      <c r="B160" s="47"/>
      <c r="C160" s="53" t="s">
        <v>168</v>
      </c>
      <c r="D160" s="54"/>
      <c r="E160" s="55"/>
      <c r="F160" s="51" t="s">
        <v>58</v>
      </c>
      <c r="G160" s="52"/>
      <c r="H160" s="44">
        <v>5000</v>
      </c>
      <c r="I160" s="45"/>
      <c r="J160" s="44">
        <v>6750</v>
      </c>
      <c r="K160" s="45"/>
      <c r="L160" s="44">
        <v>5000</v>
      </c>
      <c r="M160" s="45"/>
      <c r="N160" s="44">
        <v>5000</v>
      </c>
      <c r="O160" s="45"/>
    </row>
    <row r="161" spans="1:15" ht="14.25" customHeight="1">
      <c r="A161" s="46">
        <v>81059</v>
      </c>
      <c r="B161" s="47"/>
      <c r="C161" s="48" t="s">
        <v>169</v>
      </c>
      <c r="D161" s="49"/>
      <c r="E161" s="50"/>
      <c r="F161" s="51" t="s">
        <v>23</v>
      </c>
      <c r="G161" s="52"/>
      <c r="H161" s="44">
        <v>7408</v>
      </c>
      <c r="I161" s="45"/>
      <c r="J161" s="44">
        <v>5000</v>
      </c>
      <c r="K161" s="45"/>
      <c r="L161" s="44">
        <v>5000</v>
      </c>
      <c r="M161" s="45"/>
      <c r="N161" s="44">
        <v>5000</v>
      </c>
      <c r="O161" s="45"/>
    </row>
    <row r="162" spans="1:15" ht="28.5" customHeight="1">
      <c r="A162" s="46">
        <v>31074</v>
      </c>
      <c r="B162" s="47"/>
      <c r="C162" s="53" t="s">
        <v>170</v>
      </c>
      <c r="D162" s="54"/>
      <c r="E162" s="55"/>
      <c r="F162" s="51" t="s">
        <v>58</v>
      </c>
      <c r="G162" s="52"/>
      <c r="H162" s="44">
        <v>5000</v>
      </c>
      <c r="I162" s="45"/>
      <c r="J162" s="44">
        <v>5000</v>
      </c>
      <c r="K162" s="45"/>
      <c r="L162" s="44">
        <v>5000</v>
      </c>
      <c r="M162" s="45"/>
      <c r="N162" s="44">
        <v>5000</v>
      </c>
      <c r="O162" s="45"/>
    </row>
    <row r="163" spans="1:15" ht="14.25" customHeight="1">
      <c r="A163" s="46">
        <v>11106</v>
      </c>
      <c r="B163" s="47"/>
      <c r="C163" s="48" t="s">
        <v>171</v>
      </c>
      <c r="D163" s="49"/>
      <c r="E163" s="50"/>
      <c r="F163" s="51" t="s">
        <v>16</v>
      </c>
      <c r="G163" s="52"/>
      <c r="H163" s="44">
        <v>5000</v>
      </c>
      <c r="I163" s="45"/>
      <c r="J163" s="44">
        <v>5000</v>
      </c>
      <c r="K163" s="45"/>
      <c r="L163" s="44">
        <v>5000</v>
      </c>
      <c r="M163" s="45"/>
      <c r="N163" s="44">
        <v>5000</v>
      </c>
      <c r="O163" s="45"/>
    </row>
    <row r="164" spans="1:15" ht="14.25" customHeight="1">
      <c r="A164" s="46">
        <v>91056</v>
      </c>
      <c r="B164" s="47"/>
      <c r="C164" s="48" t="s">
        <v>172</v>
      </c>
      <c r="D164" s="49"/>
      <c r="E164" s="50"/>
      <c r="F164" s="51" t="s">
        <v>28</v>
      </c>
      <c r="G164" s="52"/>
      <c r="H164" s="44">
        <v>5000</v>
      </c>
      <c r="I164" s="45"/>
      <c r="J164" s="44">
        <v>5000</v>
      </c>
      <c r="K164" s="45"/>
      <c r="L164" s="44">
        <v>5000</v>
      </c>
      <c r="M164" s="45"/>
      <c r="N164" s="44">
        <v>5000</v>
      </c>
      <c r="O164" s="45"/>
    </row>
    <row r="165" spans="1:15" ht="14.25" customHeight="1">
      <c r="A165" s="46">
        <v>41045</v>
      </c>
      <c r="B165" s="47"/>
      <c r="C165" s="48" t="s">
        <v>173</v>
      </c>
      <c r="D165" s="49"/>
      <c r="E165" s="50"/>
      <c r="F165" s="51" t="s">
        <v>11</v>
      </c>
      <c r="G165" s="52"/>
      <c r="H165" s="44">
        <v>5000</v>
      </c>
      <c r="I165" s="45"/>
      <c r="J165" s="44">
        <v>5000</v>
      </c>
      <c r="K165" s="45"/>
      <c r="L165" s="44">
        <v>5000</v>
      </c>
      <c r="M165" s="45"/>
      <c r="N165" s="44">
        <v>5000</v>
      </c>
      <c r="O165" s="45"/>
    </row>
    <row r="166" spans="1:15" ht="28.5" customHeight="1">
      <c r="A166" s="46">
        <v>41052</v>
      </c>
      <c r="B166" s="47"/>
      <c r="C166" s="53" t="s">
        <v>174</v>
      </c>
      <c r="D166" s="54"/>
      <c r="E166" s="55"/>
      <c r="F166" s="51" t="s">
        <v>11</v>
      </c>
      <c r="G166" s="52"/>
      <c r="H166" s="44">
        <v>5000</v>
      </c>
      <c r="I166" s="45"/>
      <c r="J166" s="44">
        <v>5000</v>
      </c>
      <c r="K166" s="45"/>
      <c r="L166" s="44">
        <v>5000</v>
      </c>
      <c r="M166" s="45"/>
      <c r="N166" s="44">
        <v>5000</v>
      </c>
      <c r="O166" s="45"/>
    </row>
    <row r="167" spans="1:15" ht="28.5" customHeight="1">
      <c r="A167" s="46">
        <v>91921</v>
      </c>
      <c r="B167" s="47"/>
      <c r="C167" s="48" t="s">
        <v>175</v>
      </c>
      <c r="D167" s="49"/>
      <c r="E167" s="50"/>
      <c r="F167" s="139" t="s">
        <v>176</v>
      </c>
      <c r="G167" s="140"/>
      <c r="H167" s="44">
        <v>5000</v>
      </c>
      <c r="I167" s="45"/>
      <c r="J167" s="44">
        <v>5000</v>
      </c>
      <c r="K167" s="45"/>
      <c r="L167" s="44">
        <v>5000</v>
      </c>
      <c r="M167" s="45"/>
      <c r="N167" s="44">
        <v>5000</v>
      </c>
      <c r="O167" s="45"/>
    </row>
    <row r="168" spans="1:15" ht="14.25" customHeight="1">
      <c r="A168" s="46">
        <v>31122</v>
      </c>
      <c r="B168" s="47"/>
      <c r="C168" s="48" t="s">
        <v>177</v>
      </c>
      <c r="D168" s="49"/>
      <c r="E168" s="50"/>
      <c r="F168" s="51" t="s">
        <v>58</v>
      </c>
      <c r="G168" s="52"/>
      <c r="H168" s="44">
        <v>8796</v>
      </c>
      <c r="I168" s="45"/>
      <c r="J168" s="44">
        <v>5000</v>
      </c>
      <c r="K168" s="45"/>
      <c r="L168" s="44">
        <v>5000</v>
      </c>
      <c r="M168" s="45"/>
      <c r="N168" s="44">
        <v>5000</v>
      </c>
      <c r="O168" s="45"/>
    </row>
    <row r="169" spans="1:15" ht="14.25" customHeight="1">
      <c r="A169" s="46">
        <v>11107</v>
      </c>
      <c r="B169" s="47"/>
      <c r="C169" s="48" t="s">
        <v>178</v>
      </c>
      <c r="D169" s="49"/>
      <c r="E169" s="50"/>
      <c r="F169" s="51" t="s">
        <v>16</v>
      </c>
      <c r="G169" s="52"/>
      <c r="H169" s="44">
        <v>6148</v>
      </c>
      <c r="I169" s="45"/>
      <c r="J169" s="44">
        <v>5000</v>
      </c>
      <c r="K169" s="45"/>
      <c r="L169" s="44">
        <v>5000</v>
      </c>
      <c r="M169" s="45"/>
      <c r="N169" s="44">
        <v>5000</v>
      </c>
      <c r="O169" s="45"/>
    </row>
    <row r="170" spans="1:15" ht="14.25" customHeight="1">
      <c r="A170" s="46">
        <v>11012</v>
      </c>
      <c r="B170" s="47"/>
      <c r="C170" s="48" t="s">
        <v>179</v>
      </c>
      <c r="D170" s="49"/>
      <c r="E170" s="50"/>
      <c r="F170" s="51" t="s">
        <v>16</v>
      </c>
      <c r="G170" s="52"/>
      <c r="H170" s="44">
        <v>9584</v>
      </c>
      <c r="I170" s="45"/>
      <c r="J170" s="44">
        <v>5000</v>
      </c>
      <c r="K170" s="45"/>
      <c r="L170" s="44">
        <v>7300</v>
      </c>
      <c r="M170" s="45"/>
      <c r="N170" s="44">
        <v>5000</v>
      </c>
      <c r="O170" s="45"/>
    </row>
    <row r="171" spans="1:15" ht="14.25" customHeight="1">
      <c r="A171" s="46">
        <v>41013</v>
      </c>
      <c r="B171" s="47"/>
      <c r="C171" s="48" t="s">
        <v>179</v>
      </c>
      <c r="D171" s="49"/>
      <c r="E171" s="50"/>
      <c r="F171" s="51" t="s">
        <v>11</v>
      </c>
      <c r="G171" s="52"/>
      <c r="H171" s="44">
        <v>10463</v>
      </c>
      <c r="I171" s="45"/>
      <c r="J171" s="44">
        <v>5000</v>
      </c>
      <c r="K171" s="45"/>
      <c r="L171" s="44">
        <v>7080</v>
      </c>
      <c r="M171" s="45"/>
      <c r="N171" s="44">
        <v>5000</v>
      </c>
      <c r="O171" s="45"/>
    </row>
    <row r="172" spans="1:15" ht="14.25" customHeight="1">
      <c r="A172" s="46">
        <v>91053</v>
      </c>
      <c r="B172" s="47"/>
      <c r="C172" s="48" t="s">
        <v>180</v>
      </c>
      <c r="D172" s="49"/>
      <c r="E172" s="50"/>
      <c r="F172" s="51" t="s">
        <v>28</v>
      </c>
      <c r="G172" s="52"/>
      <c r="H172" s="44">
        <v>5000</v>
      </c>
      <c r="I172" s="45"/>
      <c r="J172" s="44">
        <v>5000</v>
      </c>
      <c r="K172" s="45"/>
      <c r="L172" s="44">
        <v>5000</v>
      </c>
      <c r="M172" s="45"/>
      <c r="N172" s="44">
        <v>5000</v>
      </c>
      <c r="O172" s="45"/>
    </row>
    <row r="173" spans="1:15" ht="14.25" customHeight="1">
      <c r="A173" s="46">
        <v>21086</v>
      </c>
      <c r="B173" s="47"/>
      <c r="C173" s="48" t="s">
        <v>181</v>
      </c>
      <c r="D173" s="49"/>
      <c r="E173" s="50"/>
      <c r="F173" s="51" t="s">
        <v>20</v>
      </c>
      <c r="G173" s="52"/>
      <c r="H173" s="44">
        <v>9528</v>
      </c>
      <c r="I173" s="45"/>
      <c r="J173" s="44">
        <v>5000</v>
      </c>
      <c r="K173" s="45"/>
      <c r="L173" s="44">
        <v>7450</v>
      </c>
      <c r="M173" s="45"/>
      <c r="N173" s="44">
        <v>6333</v>
      </c>
      <c r="O173" s="45"/>
    </row>
    <row r="174" spans="1:15" ht="14.25" customHeight="1">
      <c r="A174" s="46">
        <v>81015</v>
      </c>
      <c r="B174" s="47"/>
      <c r="C174" s="48" t="s">
        <v>182</v>
      </c>
      <c r="D174" s="49"/>
      <c r="E174" s="50"/>
      <c r="F174" s="51" t="s">
        <v>23</v>
      </c>
      <c r="G174" s="52"/>
      <c r="H174" s="44">
        <v>8494</v>
      </c>
      <c r="I174" s="45"/>
      <c r="J174" s="44">
        <v>5000</v>
      </c>
      <c r="K174" s="45"/>
      <c r="L174" s="44">
        <v>6290</v>
      </c>
      <c r="M174" s="45"/>
      <c r="N174" s="44">
        <v>5000</v>
      </c>
      <c r="O174" s="45"/>
    </row>
    <row r="175" spans="1:15" ht="14.25" customHeight="1">
      <c r="A175" s="46">
        <v>61010</v>
      </c>
      <c r="B175" s="47"/>
      <c r="C175" s="48" t="s">
        <v>183</v>
      </c>
      <c r="D175" s="49"/>
      <c r="E175" s="50"/>
      <c r="F175" s="51" t="s">
        <v>25</v>
      </c>
      <c r="G175" s="52"/>
      <c r="H175" s="44">
        <v>8043</v>
      </c>
      <c r="I175" s="45"/>
      <c r="J175" s="44">
        <v>5000</v>
      </c>
      <c r="K175" s="45"/>
      <c r="L175" s="44">
        <v>5000</v>
      </c>
      <c r="M175" s="45"/>
      <c r="N175" s="44">
        <v>5000</v>
      </c>
      <c r="O175" s="45"/>
    </row>
    <row r="176" spans="1:15" ht="14.25" customHeight="1">
      <c r="A176" s="46">
        <v>71008</v>
      </c>
      <c r="B176" s="47"/>
      <c r="C176" s="48" t="s">
        <v>184</v>
      </c>
      <c r="D176" s="49"/>
      <c r="E176" s="50"/>
      <c r="F176" s="51" t="s">
        <v>18</v>
      </c>
      <c r="G176" s="52"/>
      <c r="H176" s="44">
        <v>8460</v>
      </c>
      <c r="I176" s="45"/>
      <c r="J176" s="44">
        <v>5000</v>
      </c>
      <c r="K176" s="45"/>
      <c r="L176" s="44">
        <v>6330</v>
      </c>
      <c r="M176" s="45"/>
      <c r="N176" s="44">
        <v>5000</v>
      </c>
      <c r="O176" s="45"/>
    </row>
    <row r="177" spans="1:15" ht="28.5" customHeight="1">
      <c r="A177" s="46">
        <v>41034</v>
      </c>
      <c r="B177" s="47"/>
      <c r="C177" s="53" t="s">
        <v>185</v>
      </c>
      <c r="D177" s="54"/>
      <c r="E177" s="55"/>
      <c r="F177" s="51" t="s">
        <v>11</v>
      </c>
      <c r="G177" s="52"/>
      <c r="H177" s="44">
        <v>11860</v>
      </c>
      <c r="I177" s="45"/>
      <c r="J177" s="44">
        <v>5000</v>
      </c>
      <c r="K177" s="45"/>
      <c r="L177" s="44">
        <v>5000</v>
      </c>
      <c r="M177" s="45"/>
      <c r="N177" s="44">
        <v>5000</v>
      </c>
      <c r="O177" s="45"/>
    </row>
    <row r="178" spans="1:15" ht="14.25" customHeight="1">
      <c r="A178" s="46">
        <v>21145</v>
      </c>
      <c r="B178" s="47"/>
      <c r="C178" s="48" t="s">
        <v>186</v>
      </c>
      <c r="D178" s="49"/>
      <c r="E178" s="50"/>
      <c r="F178" s="51" t="s">
        <v>20</v>
      </c>
      <c r="G178" s="52"/>
      <c r="H178" s="44">
        <v>12714</v>
      </c>
      <c r="I178" s="45"/>
      <c r="J178" s="44">
        <v>6625</v>
      </c>
      <c r="K178" s="45"/>
      <c r="L178" s="44">
        <v>7010</v>
      </c>
      <c r="M178" s="45"/>
      <c r="N178" s="44">
        <v>5000</v>
      </c>
      <c r="O178" s="45"/>
    </row>
    <row r="179" spans="1:15" ht="14.25" customHeight="1">
      <c r="A179" s="46">
        <v>21109</v>
      </c>
      <c r="B179" s="47"/>
      <c r="C179" s="48" t="s">
        <v>187</v>
      </c>
      <c r="D179" s="49"/>
      <c r="E179" s="50"/>
      <c r="F179" s="51" t="s">
        <v>20</v>
      </c>
      <c r="G179" s="52"/>
      <c r="H179" s="44">
        <v>9926</v>
      </c>
      <c r="I179" s="45"/>
      <c r="J179" s="44">
        <v>5000</v>
      </c>
      <c r="K179" s="45"/>
      <c r="L179" s="44">
        <v>7900</v>
      </c>
      <c r="M179" s="45"/>
      <c r="N179" s="44">
        <v>5000</v>
      </c>
      <c r="O179" s="45"/>
    </row>
    <row r="180" spans="1:15" ht="14.25" customHeight="1">
      <c r="A180" s="46">
        <v>71083</v>
      </c>
      <c r="B180" s="47"/>
      <c r="C180" s="48" t="s">
        <v>188</v>
      </c>
      <c r="D180" s="49"/>
      <c r="E180" s="50"/>
      <c r="F180" s="51" t="s">
        <v>18</v>
      </c>
      <c r="G180" s="52"/>
      <c r="H180" s="44">
        <v>8638</v>
      </c>
      <c r="I180" s="45"/>
      <c r="J180" s="44">
        <v>5313</v>
      </c>
      <c r="K180" s="45"/>
      <c r="L180" s="44">
        <v>5000</v>
      </c>
      <c r="M180" s="45"/>
      <c r="N180" s="44">
        <v>5000</v>
      </c>
      <c r="O180" s="45"/>
    </row>
    <row r="181" spans="1:15" ht="14.25" customHeight="1">
      <c r="A181" s="46">
        <v>11103</v>
      </c>
      <c r="B181" s="47"/>
      <c r="C181" s="48" t="s">
        <v>189</v>
      </c>
      <c r="D181" s="49"/>
      <c r="E181" s="50"/>
      <c r="F181" s="51" t="s">
        <v>16</v>
      </c>
      <c r="G181" s="52"/>
      <c r="H181" s="44">
        <v>9114</v>
      </c>
      <c r="I181" s="45"/>
      <c r="J181" s="44">
        <v>5000</v>
      </c>
      <c r="K181" s="45"/>
      <c r="L181" s="44">
        <v>5000</v>
      </c>
      <c r="M181" s="45"/>
      <c r="N181" s="44">
        <v>5000</v>
      </c>
      <c r="O181" s="45"/>
    </row>
    <row r="182" spans="1:15" ht="14.25" customHeight="1">
      <c r="A182" s="46">
        <v>41014</v>
      </c>
      <c r="B182" s="47"/>
      <c r="C182" s="48" t="s">
        <v>189</v>
      </c>
      <c r="D182" s="49"/>
      <c r="E182" s="50"/>
      <c r="F182" s="51" t="s">
        <v>11</v>
      </c>
      <c r="G182" s="52"/>
      <c r="H182" s="44">
        <v>10580</v>
      </c>
      <c r="I182" s="45"/>
      <c r="J182" s="44">
        <v>5000</v>
      </c>
      <c r="K182" s="45"/>
      <c r="L182" s="44">
        <v>5000</v>
      </c>
      <c r="M182" s="45"/>
      <c r="N182" s="44">
        <v>5000</v>
      </c>
      <c r="O182" s="45"/>
    </row>
    <row r="183" spans="1:15" ht="14.25" customHeight="1">
      <c r="A183" s="46">
        <v>21070</v>
      </c>
      <c r="B183" s="47"/>
      <c r="C183" s="48" t="s">
        <v>190</v>
      </c>
      <c r="D183" s="49"/>
      <c r="E183" s="50"/>
      <c r="F183" s="51" t="s">
        <v>20</v>
      </c>
      <c r="G183" s="52"/>
      <c r="H183" s="44">
        <v>9072</v>
      </c>
      <c r="I183" s="45"/>
      <c r="J183" s="44">
        <v>5000</v>
      </c>
      <c r="K183" s="45"/>
      <c r="L183" s="44">
        <v>5000</v>
      </c>
      <c r="M183" s="45"/>
      <c r="N183" s="44">
        <v>5000</v>
      </c>
      <c r="O183" s="45"/>
    </row>
    <row r="184" spans="1:15" ht="14.25" customHeight="1">
      <c r="A184" s="46">
        <v>21110</v>
      </c>
      <c r="B184" s="47"/>
      <c r="C184" s="48" t="s">
        <v>191</v>
      </c>
      <c r="D184" s="49"/>
      <c r="E184" s="50"/>
      <c r="F184" s="51" t="s">
        <v>20</v>
      </c>
      <c r="G184" s="52"/>
      <c r="H184" s="44">
        <v>9500</v>
      </c>
      <c r="I184" s="45"/>
      <c r="J184" s="44">
        <v>5000</v>
      </c>
      <c r="K184" s="45"/>
      <c r="L184" s="44">
        <v>5000</v>
      </c>
      <c r="M184" s="45"/>
      <c r="N184" s="44">
        <v>5000</v>
      </c>
      <c r="O184" s="45"/>
    </row>
    <row r="185" spans="1:15" ht="14.25" customHeight="1">
      <c r="A185" s="46">
        <v>81016</v>
      </c>
      <c r="B185" s="47"/>
      <c r="C185" s="48" t="s">
        <v>192</v>
      </c>
      <c r="D185" s="49"/>
      <c r="E185" s="50"/>
      <c r="F185" s="51" t="s">
        <v>23</v>
      </c>
      <c r="G185" s="52"/>
      <c r="H185" s="44">
        <v>8832</v>
      </c>
      <c r="I185" s="45"/>
      <c r="J185" s="44">
        <v>5000</v>
      </c>
      <c r="K185" s="45"/>
      <c r="L185" s="44">
        <v>5000</v>
      </c>
      <c r="M185" s="45"/>
      <c r="N185" s="44">
        <v>5000</v>
      </c>
      <c r="O185" s="45"/>
    </row>
    <row r="186" spans="1:15" ht="14.25" customHeight="1">
      <c r="A186" s="46">
        <v>71009</v>
      </c>
      <c r="B186" s="47"/>
      <c r="C186" s="48" t="s">
        <v>193</v>
      </c>
      <c r="D186" s="49"/>
      <c r="E186" s="50"/>
      <c r="F186" s="51" t="s">
        <v>18</v>
      </c>
      <c r="G186" s="52"/>
      <c r="H186" s="44">
        <v>8000</v>
      </c>
      <c r="I186" s="45"/>
      <c r="J186" s="44">
        <v>5000</v>
      </c>
      <c r="K186" s="45"/>
      <c r="L186" s="44">
        <v>5000</v>
      </c>
      <c r="M186" s="45"/>
      <c r="N186" s="44">
        <v>5000</v>
      </c>
      <c r="O186" s="45"/>
    </row>
    <row r="187" spans="1:15" ht="14.25" customHeight="1">
      <c r="A187" s="137">
        <v>91922</v>
      </c>
      <c r="B187" s="138"/>
      <c r="C187" s="48" t="s">
        <v>194</v>
      </c>
      <c r="D187" s="49"/>
      <c r="E187" s="50"/>
      <c r="F187" s="51" t="s">
        <v>195</v>
      </c>
      <c r="G187" s="52"/>
      <c r="H187" s="44">
        <v>10900</v>
      </c>
      <c r="I187" s="45"/>
      <c r="J187" s="44">
        <v>5000</v>
      </c>
      <c r="K187" s="45"/>
      <c r="L187" s="44">
        <v>6820</v>
      </c>
      <c r="M187" s="45"/>
      <c r="N187" s="44">
        <v>5000</v>
      </c>
      <c r="O187" s="45"/>
    </row>
    <row r="188" spans="1:15" ht="14.25" customHeight="1">
      <c r="A188" s="46">
        <v>81069</v>
      </c>
      <c r="B188" s="47"/>
      <c r="C188" s="48" t="s">
        <v>196</v>
      </c>
      <c r="D188" s="49"/>
      <c r="E188" s="50"/>
      <c r="F188" s="51" t="s">
        <v>23</v>
      </c>
      <c r="G188" s="52"/>
      <c r="H188" s="44">
        <v>8086</v>
      </c>
      <c r="I188" s="45"/>
      <c r="J188" s="44">
        <v>5000</v>
      </c>
      <c r="K188" s="45"/>
      <c r="L188" s="44">
        <v>5000</v>
      </c>
      <c r="M188" s="45"/>
      <c r="N188" s="44">
        <v>5000</v>
      </c>
      <c r="O188" s="45"/>
    </row>
    <row r="189" spans="1:15" ht="28.5" customHeight="1">
      <c r="A189" s="46">
        <v>21167</v>
      </c>
      <c r="B189" s="47"/>
      <c r="C189" s="53" t="s">
        <v>197</v>
      </c>
      <c r="D189" s="54"/>
      <c r="E189" s="55"/>
      <c r="F189" s="51" t="s">
        <v>20</v>
      </c>
      <c r="G189" s="52"/>
      <c r="H189" s="44">
        <v>11402</v>
      </c>
      <c r="I189" s="45"/>
      <c r="J189" s="44">
        <v>7563</v>
      </c>
      <c r="K189" s="45"/>
      <c r="L189" s="44">
        <v>6730</v>
      </c>
      <c r="M189" s="45"/>
      <c r="N189" s="44">
        <v>5000</v>
      </c>
      <c r="O189" s="45"/>
    </row>
    <row r="190" spans="1:15" ht="14.25" customHeight="1">
      <c r="A190" s="46">
        <v>11013</v>
      </c>
      <c r="B190" s="47"/>
      <c r="C190" s="48" t="s">
        <v>198</v>
      </c>
      <c r="D190" s="49"/>
      <c r="E190" s="50"/>
      <c r="F190" s="51" t="s">
        <v>16</v>
      </c>
      <c r="G190" s="52"/>
      <c r="H190" s="44">
        <v>8840</v>
      </c>
      <c r="I190" s="45"/>
      <c r="J190" s="44">
        <v>5000</v>
      </c>
      <c r="K190" s="45"/>
      <c r="L190" s="44">
        <v>6280</v>
      </c>
      <c r="M190" s="45"/>
      <c r="N190" s="44">
        <v>5000</v>
      </c>
      <c r="O190" s="45"/>
    </row>
    <row r="191" spans="1:15" ht="14.25" customHeight="1">
      <c r="A191" s="46">
        <v>21016</v>
      </c>
      <c r="B191" s="47"/>
      <c r="C191" s="48" t="s">
        <v>199</v>
      </c>
      <c r="D191" s="49"/>
      <c r="E191" s="50"/>
      <c r="F191" s="51" t="s">
        <v>20</v>
      </c>
      <c r="G191" s="52"/>
      <c r="H191" s="44">
        <v>9109</v>
      </c>
      <c r="I191" s="45"/>
      <c r="J191" s="44">
        <v>5000</v>
      </c>
      <c r="K191" s="45"/>
      <c r="L191" s="44">
        <v>7296</v>
      </c>
      <c r="M191" s="45"/>
      <c r="N191" s="44">
        <v>5000</v>
      </c>
      <c r="O191" s="45"/>
    </row>
    <row r="192" spans="1:15" ht="14.25" customHeight="1">
      <c r="A192" s="46">
        <v>71034</v>
      </c>
      <c r="B192" s="47"/>
      <c r="C192" s="48" t="s">
        <v>200</v>
      </c>
      <c r="D192" s="49"/>
      <c r="E192" s="50"/>
      <c r="F192" s="51" t="s">
        <v>18</v>
      </c>
      <c r="G192" s="52"/>
      <c r="H192" s="44">
        <v>7787</v>
      </c>
      <c r="I192" s="45"/>
      <c r="J192" s="44">
        <v>5000</v>
      </c>
      <c r="K192" s="45"/>
      <c r="L192" s="44">
        <v>5000</v>
      </c>
      <c r="M192" s="45"/>
      <c r="N192" s="44">
        <v>5000</v>
      </c>
      <c r="O192" s="45"/>
    </row>
    <row r="193" spans="1:15" ht="14.25" customHeight="1">
      <c r="A193" s="46">
        <v>81017</v>
      </c>
      <c r="B193" s="47"/>
      <c r="C193" s="48" t="s">
        <v>201</v>
      </c>
      <c r="D193" s="49"/>
      <c r="E193" s="50"/>
      <c r="F193" s="51" t="s">
        <v>23</v>
      </c>
      <c r="G193" s="52"/>
      <c r="H193" s="44">
        <v>8270</v>
      </c>
      <c r="I193" s="45"/>
      <c r="J193" s="44">
        <v>5000</v>
      </c>
      <c r="K193" s="45"/>
      <c r="L193" s="44">
        <v>5000</v>
      </c>
      <c r="M193" s="45"/>
      <c r="N193" s="44">
        <v>5000</v>
      </c>
      <c r="O193" s="45"/>
    </row>
    <row r="194" spans="1:15" ht="14.25" customHeight="1">
      <c r="A194" s="46">
        <v>61011</v>
      </c>
      <c r="B194" s="47"/>
      <c r="C194" s="48" t="s">
        <v>202</v>
      </c>
      <c r="D194" s="49"/>
      <c r="E194" s="50"/>
      <c r="F194" s="51" t="s">
        <v>25</v>
      </c>
      <c r="G194" s="52"/>
      <c r="H194" s="44">
        <v>5000</v>
      </c>
      <c r="I194" s="45"/>
      <c r="J194" s="44">
        <v>5000</v>
      </c>
      <c r="K194" s="45"/>
      <c r="L194" s="44">
        <v>5000</v>
      </c>
      <c r="M194" s="45"/>
      <c r="N194" s="44">
        <v>5000</v>
      </c>
      <c r="O194" s="45"/>
    </row>
    <row r="195" spans="1:15" ht="14.25" customHeight="1">
      <c r="A195" s="46">
        <v>91038</v>
      </c>
      <c r="B195" s="47"/>
      <c r="C195" s="48" t="s">
        <v>203</v>
      </c>
      <c r="D195" s="49"/>
      <c r="E195" s="50"/>
      <c r="F195" s="51" t="s">
        <v>28</v>
      </c>
      <c r="G195" s="52"/>
      <c r="H195" s="44">
        <v>5000</v>
      </c>
      <c r="I195" s="45"/>
      <c r="J195" s="44">
        <v>5000</v>
      </c>
      <c r="K195" s="45"/>
      <c r="L195" s="44">
        <v>5000</v>
      </c>
      <c r="M195" s="45"/>
      <c r="N195" s="44">
        <v>5000</v>
      </c>
      <c r="O195" s="45"/>
    </row>
    <row r="196" spans="1:15" ht="14.25" customHeight="1">
      <c r="A196" s="46">
        <v>71010</v>
      </c>
      <c r="B196" s="47"/>
      <c r="C196" s="48" t="s">
        <v>204</v>
      </c>
      <c r="D196" s="49"/>
      <c r="E196" s="50"/>
      <c r="F196" s="51" t="s">
        <v>18</v>
      </c>
      <c r="G196" s="52"/>
      <c r="H196" s="44">
        <v>7874</v>
      </c>
      <c r="I196" s="45"/>
      <c r="J196" s="44">
        <v>5000</v>
      </c>
      <c r="K196" s="45"/>
      <c r="L196" s="44">
        <v>5000</v>
      </c>
      <c r="M196" s="45"/>
      <c r="N196" s="44">
        <v>5000</v>
      </c>
      <c r="O196" s="45"/>
    </row>
    <row r="197" spans="1:15" ht="14.25" customHeight="1">
      <c r="A197" s="46">
        <v>71029</v>
      </c>
      <c r="B197" s="47"/>
      <c r="C197" s="48" t="s">
        <v>205</v>
      </c>
      <c r="D197" s="49"/>
      <c r="E197" s="50"/>
      <c r="F197" s="51" t="s">
        <v>18</v>
      </c>
      <c r="G197" s="52"/>
      <c r="H197" s="44">
        <v>5000</v>
      </c>
      <c r="I197" s="45"/>
      <c r="J197" s="44">
        <v>5000</v>
      </c>
      <c r="K197" s="45"/>
      <c r="L197" s="44">
        <v>5000</v>
      </c>
      <c r="M197" s="45"/>
      <c r="N197" s="44">
        <v>5000</v>
      </c>
      <c r="O197" s="45"/>
    </row>
    <row r="198" spans="1:15" ht="14.25" customHeight="1">
      <c r="A198" s="46">
        <v>91008</v>
      </c>
      <c r="B198" s="47"/>
      <c r="C198" s="48" t="s">
        <v>206</v>
      </c>
      <c r="D198" s="49"/>
      <c r="E198" s="50"/>
      <c r="F198" s="51" t="s">
        <v>28</v>
      </c>
      <c r="G198" s="52"/>
      <c r="H198" s="44">
        <v>5000</v>
      </c>
      <c r="I198" s="45"/>
      <c r="J198" s="44">
        <v>5000</v>
      </c>
      <c r="K198" s="45"/>
      <c r="L198" s="44">
        <v>5000</v>
      </c>
      <c r="M198" s="45"/>
      <c r="N198" s="44">
        <v>5000</v>
      </c>
      <c r="O198" s="45"/>
    </row>
    <row r="199" spans="1:15" ht="28.5" customHeight="1">
      <c r="A199" s="46">
        <v>11072</v>
      </c>
      <c r="B199" s="47"/>
      <c r="C199" s="53" t="s">
        <v>207</v>
      </c>
      <c r="D199" s="54"/>
      <c r="E199" s="55"/>
      <c r="F199" s="51" t="s">
        <v>16</v>
      </c>
      <c r="G199" s="52"/>
      <c r="H199" s="44">
        <v>10710</v>
      </c>
      <c r="I199" s="45"/>
      <c r="J199" s="44">
        <v>5000</v>
      </c>
      <c r="K199" s="45"/>
      <c r="L199" s="44">
        <v>6960</v>
      </c>
      <c r="M199" s="45"/>
      <c r="N199" s="44">
        <v>5000</v>
      </c>
      <c r="O199" s="45"/>
    </row>
    <row r="200" spans="1:15" ht="28.5" customHeight="1">
      <c r="A200" s="46">
        <v>21111</v>
      </c>
      <c r="B200" s="47"/>
      <c r="C200" s="53" t="s">
        <v>208</v>
      </c>
      <c r="D200" s="54"/>
      <c r="E200" s="55"/>
      <c r="F200" s="51" t="s">
        <v>20</v>
      </c>
      <c r="G200" s="52"/>
      <c r="H200" s="44">
        <v>10693</v>
      </c>
      <c r="I200" s="45"/>
      <c r="J200" s="44">
        <v>5000</v>
      </c>
      <c r="K200" s="45"/>
      <c r="L200" s="44">
        <v>7070</v>
      </c>
      <c r="M200" s="45"/>
      <c r="N200" s="44">
        <v>5000</v>
      </c>
      <c r="O200" s="45"/>
    </row>
    <row r="201" spans="1:15" ht="28.5" customHeight="1">
      <c r="A201" s="46">
        <v>81049</v>
      </c>
      <c r="B201" s="47"/>
      <c r="C201" s="53" t="s">
        <v>209</v>
      </c>
      <c r="D201" s="54"/>
      <c r="E201" s="55"/>
      <c r="F201" s="51" t="s">
        <v>23</v>
      </c>
      <c r="G201" s="52"/>
      <c r="H201" s="44">
        <v>9900</v>
      </c>
      <c r="I201" s="45"/>
      <c r="J201" s="44">
        <v>5000</v>
      </c>
      <c r="K201" s="45"/>
      <c r="L201" s="44">
        <v>5000</v>
      </c>
      <c r="M201" s="45"/>
      <c r="N201" s="44">
        <v>5000</v>
      </c>
      <c r="O201" s="45"/>
    </row>
    <row r="202" spans="1:15" ht="28.5" customHeight="1">
      <c r="A202" s="46">
        <v>61037</v>
      </c>
      <c r="B202" s="47"/>
      <c r="C202" s="53" t="s">
        <v>210</v>
      </c>
      <c r="D202" s="54"/>
      <c r="E202" s="55"/>
      <c r="F202" s="51" t="s">
        <v>25</v>
      </c>
      <c r="G202" s="52"/>
      <c r="H202" s="44">
        <v>8820</v>
      </c>
      <c r="I202" s="45"/>
      <c r="J202" s="44">
        <v>5000</v>
      </c>
      <c r="K202" s="45"/>
      <c r="L202" s="44">
        <v>5000</v>
      </c>
      <c r="M202" s="45"/>
      <c r="N202" s="44">
        <v>5000</v>
      </c>
      <c r="O202" s="45"/>
    </row>
    <row r="203" spans="1:15" ht="28.5" customHeight="1">
      <c r="A203" s="46">
        <v>71050</v>
      </c>
      <c r="B203" s="47"/>
      <c r="C203" s="53" t="s">
        <v>211</v>
      </c>
      <c r="D203" s="54"/>
      <c r="E203" s="55"/>
      <c r="F203" s="51" t="s">
        <v>18</v>
      </c>
      <c r="G203" s="52"/>
      <c r="H203" s="44">
        <v>9968</v>
      </c>
      <c r="I203" s="45"/>
      <c r="J203" s="44">
        <v>5000</v>
      </c>
      <c r="K203" s="45"/>
      <c r="L203" s="44">
        <v>7540</v>
      </c>
      <c r="M203" s="45"/>
      <c r="N203" s="44">
        <v>5000</v>
      </c>
      <c r="O203" s="45"/>
    </row>
    <row r="204" spans="1:15" ht="28.5" customHeight="1">
      <c r="A204" s="46">
        <v>71076</v>
      </c>
      <c r="B204" s="47"/>
      <c r="C204" s="53" t="s">
        <v>212</v>
      </c>
      <c r="D204" s="54"/>
      <c r="E204" s="55"/>
      <c r="F204" s="51" t="s">
        <v>18</v>
      </c>
      <c r="G204" s="52"/>
      <c r="H204" s="44">
        <v>8596</v>
      </c>
      <c r="I204" s="45"/>
      <c r="J204" s="44">
        <v>5000</v>
      </c>
      <c r="K204" s="45"/>
      <c r="L204" s="44">
        <v>5000</v>
      </c>
      <c r="M204" s="45"/>
      <c r="N204" s="44">
        <v>5000</v>
      </c>
      <c r="O204" s="45"/>
    </row>
    <row r="205" spans="1:15" ht="28.5" customHeight="1">
      <c r="A205" s="46">
        <v>91030</v>
      </c>
      <c r="B205" s="47"/>
      <c r="C205" s="53" t="s">
        <v>213</v>
      </c>
      <c r="D205" s="54"/>
      <c r="E205" s="55"/>
      <c r="F205" s="51" t="s">
        <v>28</v>
      </c>
      <c r="G205" s="52"/>
      <c r="H205" s="44">
        <v>5400</v>
      </c>
      <c r="I205" s="45"/>
      <c r="J205" s="44">
        <v>5000</v>
      </c>
      <c r="K205" s="45"/>
      <c r="L205" s="44">
        <v>5000</v>
      </c>
      <c r="M205" s="45"/>
      <c r="N205" s="44">
        <v>5000</v>
      </c>
      <c r="O205" s="45"/>
    </row>
    <row r="206" spans="1:15" ht="14.25" customHeight="1">
      <c r="A206" s="46">
        <v>11014</v>
      </c>
      <c r="B206" s="47"/>
      <c r="C206" s="48" t="s">
        <v>214</v>
      </c>
      <c r="D206" s="49"/>
      <c r="E206" s="50"/>
      <c r="F206" s="51" t="s">
        <v>16</v>
      </c>
      <c r="G206" s="52"/>
      <c r="H206" s="44">
        <v>8938</v>
      </c>
      <c r="I206" s="45"/>
      <c r="J206" s="44">
        <v>5000</v>
      </c>
      <c r="K206" s="45"/>
      <c r="L206" s="44">
        <v>7010</v>
      </c>
      <c r="M206" s="45"/>
      <c r="N206" s="44">
        <v>5000</v>
      </c>
      <c r="O206" s="45"/>
    </row>
    <row r="207" spans="1:15" ht="14.25" customHeight="1">
      <c r="A207" s="46">
        <v>21018</v>
      </c>
      <c r="B207" s="47"/>
      <c r="C207" s="48" t="s">
        <v>215</v>
      </c>
      <c r="D207" s="49"/>
      <c r="E207" s="50"/>
      <c r="F207" s="51" t="s">
        <v>20</v>
      </c>
      <c r="G207" s="52"/>
      <c r="H207" s="44">
        <v>8960</v>
      </c>
      <c r="I207" s="45"/>
      <c r="J207" s="44">
        <v>5000</v>
      </c>
      <c r="K207" s="45"/>
      <c r="L207" s="44">
        <v>5000</v>
      </c>
      <c r="M207" s="45"/>
      <c r="N207" s="44">
        <v>5000</v>
      </c>
      <c r="O207" s="45"/>
    </row>
    <row r="208" spans="1:15" ht="14.25" customHeight="1">
      <c r="A208" s="46">
        <v>21102</v>
      </c>
      <c r="B208" s="47"/>
      <c r="C208" s="48" t="s">
        <v>216</v>
      </c>
      <c r="D208" s="49"/>
      <c r="E208" s="50"/>
      <c r="F208" s="51" t="s">
        <v>20</v>
      </c>
      <c r="G208" s="52"/>
      <c r="H208" s="44">
        <v>8248</v>
      </c>
      <c r="I208" s="45"/>
      <c r="J208" s="44">
        <v>5000</v>
      </c>
      <c r="K208" s="45"/>
      <c r="L208" s="44">
        <v>5000</v>
      </c>
      <c r="M208" s="45"/>
      <c r="N208" s="44">
        <v>5000</v>
      </c>
      <c r="O208" s="45"/>
    </row>
    <row r="209" spans="1:15" ht="14.25" customHeight="1">
      <c r="A209" s="46">
        <v>81018</v>
      </c>
      <c r="B209" s="47"/>
      <c r="C209" s="48" t="s">
        <v>217</v>
      </c>
      <c r="D209" s="49"/>
      <c r="E209" s="50"/>
      <c r="F209" s="51" t="s">
        <v>23</v>
      </c>
      <c r="G209" s="52"/>
      <c r="H209" s="44">
        <v>8913</v>
      </c>
      <c r="I209" s="45"/>
      <c r="J209" s="44">
        <v>5000</v>
      </c>
      <c r="K209" s="45"/>
      <c r="L209" s="44">
        <v>7686</v>
      </c>
      <c r="M209" s="45"/>
      <c r="N209" s="44">
        <v>5000</v>
      </c>
      <c r="O209" s="45"/>
    </row>
    <row r="210" spans="1:15" ht="14.25" customHeight="1">
      <c r="A210" s="46">
        <v>61072</v>
      </c>
      <c r="B210" s="47"/>
      <c r="C210" s="48" t="s">
        <v>218</v>
      </c>
      <c r="D210" s="49"/>
      <c r="E210" s="50"/>
      <c r="F210" s="51" t="s">
        <v>25</v>
      </c>
      <c r="G210" s="52"/>
      <c r="H210" s="44">
        <v>6844</v>
      </c>
      <c r="I210" s="45"/>
      <c r="J210" s="44">
        <v>5000</v>
      </c>
      <c r="K210" s="45"/>
      <c r="L210" s="44">
        <v>5000</v>
      </c>
      <c r="M210" s="45"/>
      <c r="N210" s="44">
        <v>5000</v>
      </c>
      <c r="O210" s="45"/>
    </row>
    <row r="211" spans="1:15" ht="14.25" customHeight="1">
      <c r="A211" s="46">
        <v>61073</v>
      </c>
      <c r="B211" s="47"/>
      <c r="C211" s="48" t="s">
        <v>219</v>
      </c>
      <c r="D211" s="49"/>
      <c r="E211" s="50"/>
      <c r="F211" s="51" t="s">
        <v>25</v>
      </c>
      <c r="G211" s="52"/>
      <c r="H211" s="44">
        <v>7636</v>
      </c>
      <c r="I211" s="45"/>
      <c r="J211" s="44">
        <v>5000</v>
      </c>
      <c r="K211" s="45"/>
      <c r="L211" s="44">
        <v>5000</v>
      </c>
      <c r="M211" s="45"/>
      <c r="N211" s="44">
        <v>5000</v>
      </c>
      <c r="O211" s="45"/>
    </row>
    <row r="212" spans="1:15" ht="14.25" customHeight="1">
      <c r="A212" s="46">
        <v>71011</v>
      </c>
      <c r="B212" s="47"/>
      <c r="C212" s="48" t="s">
        <v>220</v>
      </c>
      <c r="D212" s="49"/>
      <c r="E212" s="50"/>
      <c r="F212" s="51" t="s">
        <v>18</v>
      </c>
      <c r="G212" s="52"/>
      <c r="H212" s="44">
        <v>8956</v>
      </c>
      <c r="I212" s="45"/>
      <c r="J212" s="44">
        <v>5000</v>
      </c>
      <c r="K212" s="45"/>
      <c r="L212" s="44">
        <v>7550</v>
      </c>
      <c r="M212" s="45"/>
      <c r="N212" s="44">
        <v>5000</v>
      </c>
      <c r="O212" s="45"/>
    </row>
    <row r="213" spans="1:15" ht="14.25" customHeight="1">
      <c r="A213" s="46">
        <v>71033</v>
      </c>
      <c r="B213" s="47"/>
      <c r="C213" s="48" t="s">
        <v>221</v>
      </c>
      <c r="D213" s="49"/>
      <c r="E213" s="50"/>
      <c r="F213" s="51" t="s">
        <v>18</v>
      </c>
      <c r="G213" s="52"/>
      <c r="H213" s="44">
        <v>7294</v>
      </c>
      <c r="I213" s="45"/>
      <c r="J213" s="44">
        <v>5000</v>
      </c>
      <c r="K213" s="45"/>
      <c r="L213" s="44">
        <v>6870</v>
      </c>
      <c r="M213" s="45"/>
      <c r="N213" s="44">
        <v>5000</v>
      </c>
      <c r="O213" s="45"/>
    </row>
    <row r="214" spans="1:15" ht="14.25" customHeight="1">
      <c r="A214" s="46">
        <v>91009</v>
      </c>
      <c r="B214" s="47"/>
      <c r="C214" s="48" t="s">
        <v>222</v>
      </c>
      <c r="D214" s="49"/>
      <c r="E214" s="50"/>
      <c r="F214" s="51" t="s">
        <v>28</v>
      </c>
      <c r="G214" s="52"/>
      <c r="H214" s="44">
        <v>6438</v>
      </c>
      <c r="I214" s="45"/>
      <c r="J214" s="44">
        <v>5000</v>
      </c>
      <c r="K214" s="45"/>
      <c r="L214" s="44">
        <v>5000</v>
      </c>
      <c r="M214" s="45"/>
      <c r="N214" s="44">
        <v>5000</v>
      </c>
      <c r="O214" s="45"/>
    </row>
    <row r="215" spans="1:15" ht="14.25" customHeight="1">
      <c r="A215" s="46">
        <v>11015</v>
      </c>
      <c r="B215" s="47"/>
      <c r="C215" s="48" t="s">
        <v>223</v>
      </c>
      <c r="D215" s="49"/>
      <c r="E215" s="50"/>
      <c r="F215" s="51" t="s">
        <v>16</v>
      </c>
      <c r="G215" s="52"/>
      <c r="H215" s="44">
        <v>8319</v>
      </c>
      <c r="I215" s="45"/>
      <c r="J215" s="44">
        <v>5000</v>
      </c>
      <c r="K215" s="45"/>
      <c r="L215" s="44">
        <v>5000</v>
      </c>
      <c r="M215" s="45"/>
      <c r="N215" s="44">
        <v>5500</v>
      </c>
      <c r="O215" s="45"/>
    </row>
    <row r="216" spans="1:15" ht="14.25" customHeight="1">
      <c r="A216" s="46">
        <v>21019</v>
      </c>
      <c r="B216" s="47"/>
      <c r="C216" s="48" t="s">
        <v>224</v>
      </c>
      <c r="D216" s="49"/>
      <c r="E216" s="50"/>
      <c r="F216" s="51" t="s">
        <v>20</v>
      </c>
      <c r="G216" s="52"/>
      <c r="H216" s="44">
        <v>9043</v>
      </c>
      <c r="I216" s="45"/>
      <c r="J216" s="44">
        <v>5000</v>
      </c>
      <c r="K216" s="45"/>
      <c r="L216" s="44">
        <v>5000</v>
      </c>
      <c r="M216" s="45"/>
      <c r="N216" s="44">
        <v>5333</v>
      </c>
      <c r="O216" s="45"/>
    </row>
    <row r="217" spans="1:15" ht="14.25" customHeight="1">
      <c r="A217" s="46">
        <v>81019</v>
      </c>
      <c r="B217" s="47"/>
      <c r="C217" s="48" t="s">
        <v>225</v>
      </c>
      <c r="D217" s="49"/>
      <c r="E217" s="50"/>
      <c r="F217" s="51" t="s">
        <v>23</v>
      </c>
      <c r="G217" s="52"/>
      <c r="H217" s="44">
        <v>7766</v>
      </c>
      <c r="I217" s="45"/>
      <c r="J217" s="44">
        <v>5000</v>
      </c>
      <c r="K217" s="45"/>
      <c r="L217" s="44">
        <v>5000</v>
      </c>
      <c r="M217" s="45"/>
      <c r="N217" s="44">
        <v>5000</v>
      </c>
      <c r="O217" s="45"/>
    </row>
    <row r="218" spans="1:15" ht="14.25" customHeight="1">
      <c r="A218" s="46">
        <v>61013</v>
      </c>
      <c r="B218" s="47"/>
      <c r="C218" s="48" t="s">
        <v>226</v>
      </c>
      <c r="D218" s="49"/>
      <c r="E218" s="50"/>
      <c r="F218" s="51" t="s">
        <v>25</v>
      </c>
      <c r="G218" s="52"/>
      <c r="H218" s="44">
        <v>7213</v>
      </c>
      <c r="I218" s="45"/>
      <c r="J218" s="44">
        <v>5000</v>
      </c>
      <c r="K218" s="45"/>
      <c r="L218" s="44">
        <v>5000</v>
      </c>
      <c r="M218" s="45"/>
      <c r="N218" s="44">
        <v>7500</v>
      </c>
      <c r="O218" s="45"/>
    </row>
    <row r="219" spans="1:15" ht="14.25" customHeight="1">
      <c r="A219" s="46">
        <v>71012</v>
      </c>
      <c r="B219" s="47"/>
      <c r="C219" s="48" t="s">
        <v>227</v>
      </c>
      <c r="D219" s="49"/>
      <c r="E219" s="50"/>
      <c r="F219" s="51" t="s">
        <v>18</v>
      </c>
      <c r="G219" s="52"/>
      <c r="H219" s="44">
        <v>7994</v>
      </c>
      <c r="I219" s="45"/>
      <c r="J219" s="44">
        <v>5000</v>
      </c>
      <c r="K219" s="45"/>
      <c r="L219" s="44">
        <v>5000</v>
      </c>
      <c r="M219" s="45"/>
      <c r="N219" s="44">
        <v>5000</v>
      </c>
      <c r="O219" s="45"/>
    </row>
    <row r="220" spans="1:15" ht="14.25" customHeight="1">
      <c r="A220" s="46">
        <v>91010</v>
      </c>
      <c r="B220" s="47"/>
      <c r="C220" s="48" t="s">
        <v>228</v>
      </c>
      <c r="D220" s="49"/>
      <c r="E220" s="50"/>
      <c r="F220" s="51" t="s">
        <v>28</v>
      </c>
      <c r="G220" s="52"/>
      <c r="H220" s="44">
        <v>5000</v>
      </c>
      <c r="I220" s="45"/>
      <c r="J220" s="44">
        <v>5000</v>
      </c>
      <c r="K220" s="45"/>
      <c r="L220" s="44">
        <v>5000</v>
      </c>
      <c r="M220" s="45"/>
      <c r="N220" s="44">
        <v>5000</v>
      </c>
      <c r="O220" s="45"/>
    </row>
    <row r="221" spans="1:15" ht="14.25" customHeight="1">
      <c r="A221" s="46">
        <v>21087</v>
      </c>
      <c r="B221" s="47"/>
      <c r="C221" s="48" t="s">
        <v>229</v>
      </c>
      <c r="D221" s="49"/>
      <c r="E221" s="50"/>
      <c r="F221" s="51" t="s">
        <v>20</v>
      </c>
      <c r="G221" s="52"/>
      <c r="H221" s="44">
        <v>9528</v>
      </c>
      <c r="I221" s="45"/>
      <c r="J221" s="44">
        <v>5000</v>
      </c>
      <c r="K221" s="45"/>
      <c r="L221" s="44">
        <v>5000</v>
      </c>
      <c r="M221" s="45"/>
      <c r="N221" s="44">
        <v>5000</v>
      </c>
      <c r="O221" s="45"/>
    </row>
    <row r="222" spans="1:15" ht="28.5" customHeight="1">
      <c r="A222" s="46">
        <v>31126</v>
      </c>
      <c r="B222" s="47"/>
      <c r="C222" s="53" t="s">
        <v>230</v>
      </c>
      <c r="D222" s="54"/>
      <c r="E222" s="55"/>
      <c r="F222" s="51" t="s">
        <v>58</v>
      </c>
      <c r="G222" s="52"/>
      <c r="H222" s="44">
        <v>5846</v>
      </c>
      <c r="I222" s="45"/>
      <c r="J222" s="44">
        <v>5000</v>
      </c>
      <c r="K222" s="45"/>
      <c r="L222" s="44">
        <v>5000</v>
      </c>
      <c r="M222" s="45"/>
      <c r="N222" s="44">
        <v>5000</v>
      </c>
      <c r="O222" s="45"/>
    </row>
    <row r="223" spans="1:15" ht="28.5" customHeight="1">
      <c r="A223" s="46">
        <v>31125</v>
      </c>
      <c r="B223" s="47"/>
      <c r="C223" s="53" t="s">
        <v>231</v>
      </c>
      <c r="D223" s="54"/>
      <c r="E223" s="55"/>
      <c r="F223" s="51" t="s">
        <v>58</v>
      </c>
      <c r="G223" s="52"/>
      <c r="H223" s="44">
        <v>5000</v>
      </c>
      <c r="I223" s="45"/>
      <c r="J223" s="44">
        <v>5000</v>
      </c>
      <c r="K223" s="45"/>
      <c r="L223" s="44">
        <v>5000</v>
      </c>
      <c r="M223" s="45"/>
      <c r="N223" s="44">
        <v>5000</v>
      </c>
      <c r="O223" s="45"/>
    </row>
    <row r="224" spans="1:15" ht="29" customHeight="1">
      <c r="A224" s="88" t="s">
        <v>3</v>
      </c>
      <c r="B224" s="88"/>
      <c r="C224" s="89" t="s">
        <v>4</v>
      </c>
      <c r="D224" s="89"/>
      <c r="E224" s="89"/>
      <c r="F224" s="88" t="s">
        <v>5</v>
      </c>
      <c r="G224" s="88"/>
      <c r="H224" s="90" t="s">
        <v>6</v>
      </c>
      <c r="I224" s="90"/>
      <c r="J224" s="88" t="s">
        <v>7</v>
      </c>
      <c r="K224" s="88"/>
      <c r="L224" s="88" t="s">
        <v>8</v>
      </c>
      <c r="M224" s="88"/>
      <c r="N224" s="88" t="s">
        <v>9</v>
      </c>
      <c r="O224" s="88"/>
    </row>
    <row r="225" spans="1:15" ht="28.5" customHeight="1">
      <c r="A225" s="46">
        <v>31128</v>
      </c>
      <c r="B225" s="47"/>
      <c r="C225" s="53" t="s">
        <v>232</v>
      </c>
      <c r="D225" s="54"/>
      <c r="E225" s="55"/>
      <c r="F225" s="51" t="s">
        <v>58</v>
      </c>
      <c r="G225" s="52"/>
      <c r="H225" s="44">
        <v>5000</v>
      </c>
      <c r="I225" s="45"/>
      <c r="J225" s="44">
        <v>5000</v>
      </c>
      <c r="K225" s="45"/>
      <c r="L225" s="44">
        <v>5000</v>
      </c>
      <c r="M225" s="45"/>
      <c r="N225" s="44">
        <v>5000</v>
      </c>
      <c r="O225" s="45"/>
    </row>
    <row r="226" spans="1:15" ht="28.5" customHeight="1">
      <c r="A226" s="46">
        <v>31127</v>
      </c>
      <c r="B226" s="47"/>
      <c r="C226" s="53" t="s">
        <v>233</v>
      </c>
      <c r="D226" s="54"/>
      <c r="E226" s="55"/>
      <c r="F226" s="51" t="s">
        <v>58</v>
      </c>
      <c r="G226" s="52"/>
      <c r="H226" s="44">
        <v>5000</v>
      </c>
      <c r="I226" s="45"/>
      <c r="J226" s="44">
        <v>5000</v>
      </c>
      <c r="K226" s="45"/>
      <c r="L226" s="44">
        <v>5000</v>
      </c>
      <c r="M226" s="45"/>
      <c r="N226" s="44">
        <v>5000</v>
      </c>
      <c r="O226" s="45"/>
    </row>
    <row r="227" spans="1:15" ht="28.5" customHeight="1">
      <c r="A227" s="46">
        <v>31136</v>
      </c>
      <c r="B227" s="47"/>
      <c r="C227" s="53" t="s">
        <v>234</v>
      </c>
      <c r="D227" s="54"/>
      <c r="E227" s="55"/>
      <c r="F227" s="51" t="s">
        <v>58</v>
      </c>
      <c r="G227" s="52"/>
      <c r="H227" s="44">
        <v>5000</v>
      </c>
      <c r="I227" s="45"/>
      <c r="J227" s="44">
        <v>5000</v>
      </c>
      <c r="K227" s="45"/>
      <c r="L227" s="44">
        <v>5000</v>
      </c>
      <c r="M227" s="45"/>
      <c r="N227" s="44">
        <v>5000</v>
      </c>
      <c r="O227" s="45"/>
    </row>
    <row r="228" spans="1:15" ht="28.5" customHeight="1">
      <c r="A228" s="46">
        <v>31129</v>
      </c>
      <c r="B228" s="47"/>
      <c r="C228" s="53" t="s">
        <v>235</v>
      </c>
      <c r="D228" s="54"/>
      <c r="E228" s="55"/>
      <c r="F228" s="51" t="s">
        <v>58</v>
      </c>
      <c r="G228" s="52"/>
      <c r="H228" s="44">
        <v>5210</v>
      </c>
      <c r="I228" s="45"/>
      <c r="J228" s="44">
        <v>5000</v>
      </c>
      <c r="K228" s="45"/>
      <c r="L228" s="44">
        <v>5000</v>
      </c>
      <c r="M228" s="45"/>
      <c r="N228" s="44">
        <v>5000</v>
      </c>
      <c r="O228" s="45"/>
    </row>
    <row r="229" spans="1:15" ht="28.5" customHeight="1">
      <c r="A229" s="46">
        <v>31130</v>
      </c>
      <c r="B229" s="47"/>
      <c r="C229" s="53" t="s">
        <v>236</v>
      </c>
      <c r="D229" s="54"/>
      <c r="E229" s="55"/>
      <c r="F229" s="51" t="s">
        <v>58</v>
      </c>
      <c r="G229" s="52"/>
      <c r="H229" s="44">
        <v>5000</v>
      </c>
      <c r="I229" s="45"/>
      <c r="J229" s="44">
        <v>5000</v>
      </c>
      <c r="K229" s="45"/>
      <c r="L229" s="44">
        <v>5000</v>
      </c>
      <c r="M229" s="45"/>
      <c r="N229" s="44">
        <v>5000</v>
      </c>
      <c r="O229" s="45"/>
    </row>
    <row r="230" spans="1:15" ht="14.25" customHeight="1">
      <c r="A230" s="46">
        <v>11073</v>
      </c>
      <c r="B230" s="47"/>
      <c r="C230" s="48" t="s">
        <v>237</v>
      </c>
      <c r="D230" s="49"/>
      <c r="E230" s="50"/>
      <c r="F230" s="51" t="s">
        <v>16</v>
      </c>
      <c r="G230" s="52"/>
      <c r="H230" s="44">
        <v>11358</v>
      </c>
      <c r="I230" s="45"/>
      <c r="J230" s="44">
        <v>5250</v>
      </c>
      <c r="K230" s="45"/>
      <c r="L230" s="44">
        <v>5000</v>
      </c>
      <c r="M230" s="45"/>
      <c r="N230" s="44">
        <v>5000</v>
      </c>
      <c r="O230" s="45"/>
    </row>
    <row r="231" spans="1:15" ht="14.25" customHeight="1">
      <c r="A231" s="46">
        <v>61006</v>
      </c>
      <c r="B231" s="47"/>
      <c r="C231" s="48" t="s">
        <v>238</v>
      </c>
      <c r="D231" s="49"/>
      <c r="E231" s="50"/>
      <c r="F231" s="51" t="s">
        <v>25</v>
      </c>
      <c r="G231" s="52"/>
      <c r="H231" s="44">
        <v>6690</v>
      </c>
      <c r="I231" s="45"/>
      <c r="J231" s="44">
        <v>5000</v>
      </c>
      <c r="K231" s="45"/>
      <c r="L231" s="44">
        <v>5000</v>
      </c>
      <c r="M231" s="45"/>
      <c r="N231" s="44">
        <v>5000</v>
      </c>
      <c r="O231" s="45"/>
    </row>
    <row r="232" spans="1:15" ht="14.25" customHeight="1">
      <c r="A232" s="46">
        <v>81032</v>
      </c>
      <c r="B232" s="47"/>
      <c r="C232" s="48" t="s">
        <v>239</v>
      </c>
      <c r="D232" s="49"/>
      <c r="E232" s="50"/>
      <c r="F232" s="51" t="s">
        <v>23</v>
      </c>
      <c r="G232" s="52"/>
      <c r="H232" s="44">
        <v>7134</v>
      </c>
      <c r="I232" s="45"/>
      <c r="J232" s="44">
        <v>5000</v>
      </c>
      <c r="K232" s="45"/>
      <c r="L232" s="44">
        <v>5000</v>
      </c>
      <c r="M232" s="45"/>
      <c r="N232" s="44">
        <v>5000</v>
      </c>
      <c r="O232" s="45"/>
    </row>
    <row r="233" spans="1:15" ht="14.25" customHeight="1">
      <c r="A233" s="46">
        <v>31004</v>
      </c>
      <c r="B233" s="47"/>
      <c r="C233" s="48" t="s">
        <v>240</v>
      </c>
      <c r="D233" s="49"/>
      <c r="E233" s="50"/>
      <c r="F233" s="51" t="s">
        <v>58</v>
      </c>
      <c r="G233" s="52"/>
      <c r="H233" s="44">
        <v>7770</v>
      </c>
      <c r="I233" s="45"/>
      <c r="J233" s="44">
        <v>5000</v>
      </c>
      <c r="K233" s="45"/>
      <c r="L233" s="44">
        <v>5000</v>
      </c>
      <c r="M233" s="45"/>
      <c r="N233" s="44">
        <v>5000</v>
      </c>
      <c r="O233" s="45"/>
    </row>
    <row r="234" spans="1:15" ht="14.25" customHeight="1">
      <c r="A234" s="46">
        <v>31100</v>
      </c>
      <c r="B234" s="47"/>
      <c r="C234" s="48" t="s">
        <v>241</v>
      </c>
      <c r="D234" s="49"/>
      <c r="E234" s="50"/>
      <c r="F234" s="51" t="s">
        <v>58</v>
      </c>
      <c r="G234" s="52"/>
      <c r="H234" s="44">
        <v>7598</v>
      </c>
      <c r="I234" s="45"/>
      <c r="J234" s="44">
        <v>5000</v>
      </c>
      <c r="K234" s="45"/>
      <c r="L234" s="44">
        <v>5000</v>
      </c>
      <c r="M234" s="45"/>
      <c r="N234" s="44">
        <v>5000</v>
      </c>
      <c r="O234" s="45"/>
    </row>
    <row r="235" spans="1:15" ht="14.25" customHeight="1">
      <c r="A235" s="46">
        <v>41072</v>
      </c>
      <c r="B235" s="47"/>
      <c r="C235" s="48" t="s">
        <v>242</v>
      </c>
      <c r="D235" s="49"/>
      <c r="E235" s="50"/>
      <c r="F235" s="51" t="s">
        <v>11</v>
      </c>
      <c r="G235" s="52"/>
      <c r="H235" s="44">
        <v>8163</v>
      </c>
      <c r="I235" s="45"/>
      <c r="J235" s="44">
        <v>5000</v>
      </c>
      <c r="K235" s="45"/>
      <c r="L235" s="44">
        <v>7760</v>
      </c>
      <c r="M235" s="45"/>
      <c r="N235" s="44">
        <v>5000</v>
      </c>
      <c r="O235" s="45"/>
    </row>
    <row r="236" spans="1:15" ht="14.25" customHeight="1">
      <c r="A236" s="46">
        <v>11059</v>
      </c>
      <c r="B236" s="47"/>
      <c r="C236" s="48" t="s">
        <v>243</v>
      </c>
      <c r="D236" s="49"/>
      <c r="E236" s="50"/>
      <c r="F236" s="51" t="s">
        <v>16</v>
      </c>
      <c r="G236" s="52"/>
      <c r="H236" s="44">
        <v>12740</v>
      </c>
      <c r="I236" s="45"/>
      <c r="J236" s="44">
        <v>5000</v>
      </c>
      <c r="K236" s="45"/>
      <c r="L236" s="44">
        <v>6650</v>
      </c>
      <c r="M236" s="45"/>
      <c r="N236" s="44">
        <v>5000</v>
      </c>
      <c r="O236" s="45"/>
    </row>
    <row r="237" spans="1:15" ht="14.25" customHeight="1">
      <c r="A237" s="46">
        <v>41067</v>
      </c>
      <c r="B237" s="47"/>
      <c r="C237" s="48" t="s">
        <v>243</v>
      </c>
      <c r="D237" s="49"/>
      <c r="E237" s="50"/>
      <c r="F237" s="51" t="s">
        <v>11</v>
      </c>
      <c r="G237" s="52"/>
      <c r="H237" s="44">
        <v>12398</v>
      </c>
      <c r="I237" s="45"/>
      <c r="J237" s="44">
        <v>5000</v>
      </c>
      <c r="K237" s="45"/>
      <c r="L237" s="44">
        <v>7880</v>
      </c>
      <c r="M237" s="45"/>
      <c r="N237" s="44">
        <v>5000</v>
      </c>
      <c r="O237" s="45"/>
    </row>
    <row r="238" spans="1:15" ht="14.25" customHeight="1">
      <c r="A238" s="46">
        <v>31051</v>
      </c>
      <c r="B238" s="47"/>
      <c r="C238" s="48" t="s">
        <v>244</v>
      </c>
      <c r="D238" s="49"/>
      <c r="E238" s="50"/>
      <c r="F238" s="51" t="s">
        <v>58</v>
      </c>
      <c r="G238" s="52"/>
      <c r="H238" s="44">
        <v>11946</v>
      </c>
      <c r="I238" s="45"/>
      <c r="J238" s="44">
        <v>5000</v>
      </c>
      <c r="K238" s="45"/>
      <c r="L238" s="44">
        <v>5000</v>
      </c>
      <c r="M238" s="45"/>
      <c r="N238" s="44">
        <v>5000</v>
      </c>
      <c r="O238" s="45"/>
    </row>
    <row r="239" spans="1:15" ht="14.25" customHeight="1">
      <c r="A239" s="46">
        <v>81063</v>
      </c>
      <c r="B239" s="47"/>
      <c r="C239" s="48" t="s">
        <v>245</v>
      </c>
      <c r="D239" s="49"/>
      <c r="E239" s="50"/>
      <c r="F239" s="51" t="s">
        <v>23</v>
      </c>
      <c r="G239" s="52"/>
      <c r="H239" s="44">
        <v>10426</v>
      </c>
      <c r="I239" s="45"/>
      <c r="J239" s="44">
        <v>5000</v>
      </c>
      <c r="K239" s="45"/>
      <c r="L239" s="44">
        <v>7070</v>
      </c>
      <c r="M239" s="45"/>
      <c r="N239" s="44">
        <v>5000</v>
      </c>
      <c r="O239" s="45"/>
    </row>
    <row r="240" spans="1:15" ht="14.25" customHeight="1">
      <c r="A240" s="46">
        <v>71064</v>
      </c>
      <c r="B240" s="47"/>
      <c r="C240" s="48" t="s">
        <v>246</v>
      </c>
      <c r="D240" s="49"/>
      <c r="E240" s="50"/>
      <c r="F240" s="51" t="s">
        <v>18</v>
      </c>
      <c r="G240" s="52"/>
      <c r="H240" s="44">
        <v>10378</v>
      </c>
      <c r="I240" s="45"/>
      <c r="J240" s="44">
        <v>5000</v>
      </c>
      <c r="K240" s="45"/>
      <c r="L240" s="44">
        <v>5000</v>
      </c>
      <c r="M240" s="45"/>
      <c r="N240" s="44">
        <v>5000</v>
      </c>
      <c r="O240" s="45"/>
    </row>
    <row r="241" spans="1:15" ht="28.5" customHeight="1">
      <c r="A241" s="46">
        <v>71070</v>
      </c>
      <c r="B241" s="47"/>
      <c r="C241" s="53" t="s">
        <v>247</v>
      </c>
      <c r="D241" s="54"/>
      <c r="E241" s="55"/>
      <c r="F241" s="51" t="s">
        <v>18</v>
      </c>
      <c r="G241" s="52"/>
      <c r="H241" s="44">
        <v>11146</v>
      </c>
      <c r="I241" s="45"/>
      <c r="J241" s="44">
        <v>5000</v>
      </c>
      <c r="K241" s="45"/>
      <c r="L241" s="44">
        <v>5000</v>
      </c>
      <c r="M241" s="45"/>
      <c r="N241" s="44">
        <v>5000</v>
      </c>
      <c r="O241" s="45"/>
    </row>
    <row r="242" spans="1:15" ht="14.25" customHeight="1">
      <c r="A242" s="46">
        <v>31103</v>
      </c>
      <c r="B242" s="47"/>
      <c r="C242" s="48" t="s">
        <v>248</v>
      </c>
      <c r="D242" s="49"/>
      <c r="E242" s="50"/>
      <c r="F242" s="51" t="s">
        <v>58</v>
      </c>
      <c r="G242" s="52"/>
      <c r="H242" s="44">
        <v>9926</v>
      </c>
      <c r="I242" s="45"/>
      <c r="J242" s="44">
        <v>5000</v>
      </c>
      <c r="K242" s="45"/>
      <c r="L242" s="44">
        <v>5000</v>
      </c>
      <c r="M242" s="45"/>
      <c r="N242" s="44">
        <v>5000</v>
      </c>
      <c r="O242" s="45"/>
    </row>
    <row r="243" spans="1:15" ht="28.5" customHeight="1">
      <c r="A243" s="46">
        <v>31113</v>
      </c>
      <c r="B243" s="47"/>
      <c r="C243" s="53" t="s">
        <v>249</v>
      </c>
      <c r="D243" s="54"/>
      <c r="E243" s="55"/>
      <c r="F243" s="51" t="s">
        <v>58</v>
      </c>
      <c r="G243" s="52"/>
      <c r="H243" s="44">
        <v>11498</v>
      </c>
      <c r="I243" s="45"/>
      <c r="J243" s="44">
        <v>5000</v>
      </c>
      <c r="K243" s="45"/>
      <c r="L243" s="44">
        <v>5000</v>
      </c>
      <c r="M243" s="45"/>
      <c r="N243" s="44">
        <v>5000</v>
      </c>
      <c r="O243" s="45"/>
    </row>
    <row r="244" spans="1:15" ht="14.25" customHeight="1">
      <c r="A244" s="46">
        <v>21132</v>
      </c>
      <c r="B244" s="47"/>
      <c r="C244" s="48" t="s">
        <v>250</v>
      </c>
      <c r="D244" s="49"/>
      <c r="E244" s="50"/>
      <c r="F244" s="51" t="s">
        <v>20</v>
      </c>
      <c r="G244" s="52"/>
      <c r="H244" s="44">
        <v>7002</v>
      </c>
      <c r="I244" s="45"/>
      <c r="J244" s="44">
        <v>5000</v>
      </c>
      <c r="K244" s="45"/>
      <c r="L244" s="44">
        <v>5000</v>
      </c>
      <c r="M244" s="45"/>
      <c r="N244" s="44">
        <v>5000</v>
      </c>
      <c r="O244" s="45"/>
    </row>
    <row r="245" spans="1:15" ht="14.25" customHeight="1">
      <c r="A245" s="46">
        <v>31091</v>
      </c>
      <c r="B245" s="47"/>
      <c r="C245" s="48" t="s">
        <v>251</v>
      </c>
      <c r="D245" s="49"/>
      <c r="E245" s="50"/>
      <c r="F245" s="51" t="s">
        <v>58</v>
      </c>
      <c r="G245" s="52"/>
      <c r="H245" s="44">
        <v>10550</v>
      </c>
      <c r="I245" s="45"/>
      <c r="J245" s="44">
        <v>5750</v>
      </c>
      <c r="K245" s="45"/>
      <c r="L245" s="44">
        <v>5000</v>
      </c>
      <c r="M245" s="45"/>
      <c r="N245" s="44">
        <v>5000</v>
      </c>
      <c r="O245" s="45"/>
    </row>
    <row r="246" spans="1:15" ht="14.25" customHeight="1">
      <c r="A246" s="46">
        <v>71061</v>
      </c>
      <c r="B246" s="47"/>
      <c r="C246" s="48" t="s">
        <v>252</v>
      </c>
      <c r="D246" s="49"/>
      <c r="E246" s="50"/>
      <c r="F246" s="51" t="s">
        <v>18</v>
      </c>
      <c r="G246" s="52"/>
      <c r="H246" s="44">
        <v>6268</v>
      </c>
      <c r="I246" s="45"/>
      <c r="J246" s="44">
        <v>5000</v>
      </c>
      <c r="K246" s="45"/>
      <c r="L246" s="44">
        <v>5000</v>
      </c>
      <c r="M246" s="45"/>
      <c r="N246" s="44">
        <v>5000</v>
      </c>
      <c r="O246" s="45"/>
    </row>
    <row r="247" spans="1:15" ht="14.25" customHeight="1">
      <c r="A247" s="46">
        <v>31097</v>
      </c>
      <c r="B247" s="47"/>
      <c r="C247" s="48" t="s">
        <v>253</v>
      </c>
      <c r="D247" s="49"/>
      <c r="E247" s="50"/>
      <c r="F247" s="51" t="s">
        <v>58</v>
      </c>
      <c r="G247" s="52"/>
      <c r="H247" s="44">
        <v>6756</v>
      </c>
      <c r="I247" s="45"/>
      <c r="J247" s="44">
        <v>5000</v>
      </c>
      <c r="K247" s="45"/>
      <c r="L247" s="44">
        <v>5000</v>
      </c>
      <c r="M247" s="45"/>
      <c r="N247" s="44">
        <v>5000</v>
      </c>
      <c r="O247" s="45"/>
    </row>
    <row r="248" spans="1:15" ht="14.25" customHeight="1">
      <c r="A248" s="46">
        <v>21118</v>
      </c>
      <c r="B248" s="47"/>
      <c r="C248" s="48" t="s">
        <v>254</v>
      </c>
      <c r="D248" s="49"/>
      <c r="E248" s="50"/>
      <c r="F248" s="51" t="s">
        <v>20</v>
      </c>
      <c r="G248" s="52"/>
      <c r="H248" s="44">
        <v>10290</v>
      </c>
      <c r="I248" s="45"/>
      <c r="J248" s="44">
        <v>5000</v>
      </c>
      <c r="K248" s="45"/>
      <c r="L248" s="44">
        <v>5000</v>
      </c>
      <c r="M248" s="45"/>
      <c r="N248" s="44">
        <v>5000</v>
      </c>
      <c r="O248" s="45"/>
    </row>
    <row r="249" spans="1:15" ht="14.25" customHeight="1">
      <c r="A249" s="46">
        <v>91057</v>
      </c>
      <c r="B249" s="47"/>
      <c r="C249" s="48" t="s">
        <v>255</v>
      </c>
      <c r="D249" s="49"/>
      <c r="E249" s="50"/>
      <c r="F249" s="51" t="s">
        <v>28</v>
      </c>
      <c r="G249" s="52"/>
      <c r="H249" s="44">
        <v>5000</v>
      </c>
      <c r="I249" s="45"/>
      <c r="J249" s="44">
        <v>5000</v>
      </c>
      <c r="K249" s="45"/>
      <c r="L249" s="44">
        <v>5000</v>
      </c>
      <c r="M249" s="45"/>
      <c r="N249" s="44">
        <v>5000</v>
      </c>
      <c r="O249" s="45"/>
    </row>
    <row r="250" spans="1:15" ht="14.25" customHeight="1">
      <c r="A250" s="46">
        <v>31022</v>
      </c>
      <c r="B250" s="47"/>
      <c r="C250" s="48" t="s">
        <v>256</v>
      </c>
      <c r="D250" s="49"/>
      <c r="E250" s="50"/>
      <c r="F250" s="51" t="s">
        <v>58</v>
      </c>
      <c r="G250" s="52"/>
      <c r="H250" s="44">
        <v>10826</v>
      </c>
      <c r="I250" s="45"/>
      <c r="J250" s="44">
        <v>5000</v>
      </c>
      <c r="K250" s="45"/>
      <c r="L250" s="44">
        <v>5000</v>
      </c>
      <c r="M250" s="45"/>
      <c r="N250" s="44">
        <v>5000</v>
      </c>
      <c r="O250" s="45"/>
    </row>
    <row r="251" spans="1:15" ht="28.5" customHeight="1">
      <c r="A251" s="46">
        <v>31006</v>
      </c>
      <c r="B251" s="47"/>
      <c r="C251" s="53" t="s">
        <v>257</v>
      </c>
      <c r="D251" s="54"/>
      <c r="E251" s="55"/>
      <c r="F251" s="51" t="s">
        <v>58</v>
      </c>
      <c r="G251" s="52"/>
      <c r="H251" s="44">
        <v>8784</v>
      </c>
      <c r="I251" s="45"/>
      <c r="J251" s="44">
        <v>5000</v>
      </c>
      <c r="K251" s="45"/>
      <c r="L251" s="44">
        <v>5000</v>
      </c>
      <c r="M251" s="45"/>
      <c r="N251" s="44">
        <v>5000</v>
      </c>
      <c r="O251" s="45"/>
    </row>
    <row r="252" spans="1:15" ht="14.25" customHeight="1">
      <c r="A252" s="46">
        <v>91051</v>
      </c>
      <c r="B252" s="47"/>
      <c r="C252" s="48" t="s">
        <v>258</v>
      </c>
      <c r="D252" s="49"/>
      <c r="E252" s="50"/>
      <c r="F252" s="51" t="s">
        <v>28</v>
      </c>
      <c r="G252" s="52"/>
      <c r="H252" s="44">
        <v>6866</v>
      </c>
      <c r="I252" s="45"/>
      <c r="J252" s="44">
        <v>5000</v>
      </c>
      <c r="K252" s="45"/>
      <c r="L252" s="44">
        <v>5000</v>
      </c>
      <c r="M252" s="45"/>
      <c r="N252" s="44">
        <v>5000</v>
      </c>
      <c r="O252" s="45"/>
    </row>
    <row r="253" spans="1:15" ht="14.25" customHeight="1">
      <c r="A253" s="46">
        <v>31052</v>
      </c>
      <c r="B253" s="47"/>
      <c r="C253" s="48" t="s">
        <v>259</v>
      </c>
      <c r="D253" s="49"/>
      <c r="E253" s="50"/>
      <c r="F253" s="51" t="s">
        <v>58</v>
      </c>
      <c r="G253" s="52"/>
      <c r="H253" s="44">
        <v>9326</v>
      </c>
      <c r="I253" s="45"/>
      <c r="J253" s="44">
        <v>5000</v>
      </c>
      <c r="K253" s="45"/>
      <c r="L253" s="44">
        <v>5000</v>
      </c>
      <c r="M253" s="45"/>
      <c r="N253" s="44">
        <v>5000</v>
      </c>
      <c r="O253" s="45"/>
    </row>
    <row r="254" spans="1:15" ht="28.5" customHeight="1">
      <c r="A254" s="46">
        <v>61061</v>
      </c>
      <c r="B254" s="47"/>
      <c r="C254" s="53" t="s">
        <v>260</v>
      </c>
      <c r="D254" s="54"/>
      <c r="E254" s="55"/>
      <c r="F254" s="51" t="s">
        <v>25</v>
      </c>
      <c r="G254" s="52"/>
      <c r="H254" s="44">
        <v>6892</v>
      </c>
      <c r="I254" s="45"/>
      <c r="J254" s="44">
        <v>5000</v>
      </c>
      <c r="K254" s="45"/>
      <c r="L254" s="44">
        <v>5000</v>
      </c>
      <c r="M254" s="45"/>
      <c r="N254" s="44">
        <v>5000</v>
      </c>
      <c r="O254" s="45"/>
    </row>
    <row r="255" spans="1:15" ht="14.25" customHeight="1">
      <c r="A255" s="56">
        <v>61075</v>
      </c>
      <c r="B255" s="57"/>
      <c r="C255" s="62" t="s">
        <v>261</v>
      </c>
      <c r="D255" s="63"/>
      <c r="E255" s="64"/>
      <c r="F255" s="91" t="s">
        <v>25</v>
      </c>
      <c r="G255" s="92"/>
      <c r="H255" s="77">
        <v>9978</v>
      </c>
      <c r="I255" s="78"/>
      <c r="J255" s="77">
        <v>5000</v>
      </c>
      <c r="K255" s="78"/>
      <c r="L255" s="77">
        <v>5000</v>
      </c>
      <c r="M255" s="78"/>
      <c r="N255" s="77">
        <v>5000</v>
      </c>
      <c r="O255" s="78"/>
    </row>
    <row r="256" spans="1:15" ht="14.25" customHeight="1">
      <c r="A256" s="58"/>
      <c r="B256" s="59"/>
      <c r="C256" s="83" t="s">
        <v>262</v>
      </c>
      <c r="D256" s="84"/>
      <c r="E256" s="85"/>
      <c r="F256" s="93"/>
      <c r="G256" s="94"/>
      <c r="H256" s="79"/>
      <c r="I256" s="80"/>
      <c r="J256" s="79"/>
      <c r="K256" s="80"/>
      <c r="L256" s="79"/>
      <c r="M256" s="80"/>
      <c r="N256" s="79"/>
      <c r="O256" s="80"/>
    </row>
    <row r="257" spans="1:15" ht="14.25" customHeight="1">
      <c r="A257" s="60"/>
      <c r="B257" s="61"/>
      <c r="C257" s="86" t="s">
        <v>263</v>
      </c>
      <c r="D257" s="87"/>
      <c r="E257" s="97"/>
      <c r="F257" s="95"/>
      <c r="G257" s="96"/>
      <c r="H257" s="81"/>
      <c r="I257" s="82"/>
      <c r="J257" s="81"/>
      <c r="K257" s="82"/>
      <c r="L257" s="81"/>
      <c r="M257" s="82"/>
      <c r="N257" s="81"/>
      <c r="O257" s="82"/>
    </row>
    <row r="258" spans="1:15" ht="28.5" customHeight="1">
      <c r="A258" s="46">
        <v>61065</v>
      </c>
      <c r="B258" s="47"/>
      <c r="C258" s="53" t="s">
        <v>264</v>
      </c>
      <c r="D258" s="54"/>
      <c r="E258" s="55"/>
      <c r="F258" s="51" t="s">
        <v>25</v>
      </c>
      <c r="G258" s="52"/>
      <c r="H258" s="44">
        <v>10218</v>
      </c>
      <c r="I258" s="45"/>
      <c r="J258" s="44">
        <v>5000</v>
      </c>
      <c r="K258" s="45"/>
      <c r="L258" s="44">
        <v>5000</v>
      </c>
      <c r="M258" s="45"/>
      <c r="N258" s="44">
        <v>5000</v>
      </c>
      <c r="O258" s="45"/>
    </row>
    <row r="259" spans="1:15" ht="14.25" customHeight="1">
      <c r="A259" s="46">
        <v>11060</v>
      </c>
      <c r="B259" s="47"/>
      <c r="C259" s="48" t="s">
        <v>265</v>
      </c>
      <c r="D259" s="49"/>
      <c r="E259" s="50"/>
      <c r="F259" s="51" t="s">
        <v>16</v>
      </c>
      <c r="G259" s="52"/>
      <c r="H259" s="44">
        <v>8826</v>
      </c>
      <c r="I259" s="45"/>
      <c r="J259" s="44">
        <v>5000</v>
      </c>
      <c r="K259" s="45"/>
      <c r="L259" s="44">
        <v>5000</v>
      </c>
      <c r="M259" s="45"/>
      <c r="N259" s="44">
        <v>5000</v>
      </c>
      <c r="O259" s="45"/>
    </row>
    <row r="260" spans="1:15" ht="14.25" customHeight="1">
      <c r="A260" s="46">
        <v>31025</v>
      </c>
      <c r="B260" s="47"/>
      <c r="C260" s="48" t="s">
        <v>266</v>
      </c>
      <c r="D260" s="49"/>
      <c r="E260" s="50"/>
      <c r="F260" s="51" t="s">
        <v>58</v>
      </c>
      <c r="G260" s="52"/>
      <c r="H260" s="44">
        <v>8984</v>
      </c>
      <c r="I260" s="45"/>
      <c r="J260" s="44">
        <v>5000</v>
      </c>
      <c r="K260" s="45"/>
      <c r="L260" s="44">
        <v>5000</v>
      </c>
      <c r="M260" s="45"/>
      <c r="N260" s="44">
        <v>5000</v>
      </c>
      <c r="O260" s="45"/>
    </row>
    <row r="261" spans="1:15" ht="14.25" customHeight="1">
      <c r="A261" s="56">
        <v>31104</v>
      </c>
      <c r="B261" s="57"/>
      <c r="C261" s="62" t="s">
        <v>267</v>
      </c>
      <c r="D261" s="63"/>
      <c r="E261" s="64"/>
      <c r="F261" s="104" t="s">
        <v>58</v>
      </c>
      <c r="G261" s="105"/>
      <c r="H261" s="77">
        <v>7958</v>
      </c>
      <c r="I261" s="78"/>
      <c r="J261" s="77">
        <v>5000</v>
      </c>
      <c r="K261" s="78"/>
      <c r="L261" s="77">
        <v>5000</v>
      </c>
      <c r="M261" s="78"/>
      <c r="N261" s="77">
        <v>5000</v>
      </c>
      <c r="O261" s="78"/>
    </row>
    <row r="262" spans="1:15" ht="14.25" customHeight="1">
      <c r="A262" s="58"/>
      <c r="B262" s="59"/>
      <c r="C262" s="83" t="s">
        <v>268</v>
      </c>
      <c r="D262" s="84"/>
      <c r="E262" s="85"/>
      <c r="F262" s="106"/>
      <c r="G262" s="107"/>
      <c r="H262" s="79"/>
      <c r="I262" s="80"/>
      <c r="J262" s="79"/>
      <c r="K262" s="80"/>
      <c r="L262" s="79"/>
      <c r="M262" s="80"/>
      <c r="N262" s="79"/>
      <c r="O262" s="80"/>
    </row>
    <row r="263" spans="1:15" ht="14.25" customHeight="1">
      <c r="A263" s="60"/>
      <c r="B263" s="61"/>
      <c r="C263" s="86" t="s">
        <v>269</v>
      </c>
      <c r="D263" s="87"/>
      <c r="E263" s="97"/>
      <c r="F263" s="108"/>
      <c r="G263" s="109"/>
      <c r="H263" s="81"/>
      <c r="I263" s="82"/>
      <c r="J263" s="81"/>
      <c r="K263" s="82"/>
      <c r="L263" s="81"/>
      <c r="M263" s="82"/>
      <c r="N263" s="81"/>
      <c r="O263" s="82"/>
    </row>
    <row r="264" spans="1:15" ht="14.25" customHeight="1">
      <c r="A264" s="46">
        <v>31123</v>
      </c>
      <c r="B264" s="47"/>
      <c r="C264" s="48" t="s">
        <v>270</v>
      </c>
      <c r="D264" s="49"/>
      <c r="E264" s="50"/>
      <c r="F264" s="51" t="s">
        <v>58</v>
      </c>
      <c r="G264" s="52"/>
      <c r="H264" s="44">
        <v>11068</v>
      </c>
      <c r="I264" s="45"/>
      <c r="J264" s="44">
        <v>5000</v>
      </c>
      <c r="K264" s="45"/>
      <c r="L264" s="44">
        <v>5000</v>
      </c>
      <c r="M264" s="45"/>
      <c r="N264" s="44">
        <v>5000</v>
      </c>
      <c r="O264" s="45"/>
    </row>
    <row r="265" spans="1:15" ht="14.25" customHeight="1">
      <c r="A265" s="46">
        <v>31084</v>
      </c>
      <c r="B265" s="47"/>
      <c r="C265" s="48" t="s">
        <v>271</v>
      </c>
      <c r="D265" s="49"/>
      <c r="E265" s="50"/>
      <c r="F265" s="51" t="s">
        <v>58</v>
      </c>
      <c r="G265" s="52"/>
      <c r="H265" s="44">
        <v>11410</v>
      </c>
      <c r="I265" s="45"/>
      <c r="J265" s="44">
        <v>5000</v>
      </c>
      <c r="K265" s="45"/>
      <c r="L265" s="44">
        <v>5000</v>
      </c>
      <c r="M265" s="45"/>
      <c r="N265" s="44">
        <v>5000</v>
      </c>
      <c r="O265" s="45"/>
    </row>
    <row r="266" spans="1:15" ht="14.25" customHeight="1">
      <c r="A266" s="56">
        <v>31085</v>
      </c>
      <c r="B266" s="57"/>
      <c r="C266" s="62" t="s">
        <v>272</v>
      </c>
      <c r="D266" s="63"/>
      <c r="E266" s="64"/>
      <c r="F266" s="104" t="s">
        <v>58</v>
      </c>
      <c r="G266" s="105"/>
      <c r="H266" s="71">
        <v>11084</v>
      </c>
      <c r="I266" s="72"/>
      <c r="J266" s="77">
        <v>5000</v>
      </c>
      <c r="K266" s="78"/>
      <c r="L266" s="77">
        <v>5000</v>
      </c>
      <c r="M266" s="78"/>
      <c r="N266" s="77">
        <v>5000</v>
      </c>
      <c r="O266" s="78"/>
    </row>
    <row r="267" spans="1:15" ht="14.25" customHeight="1">
      <c r="A267" s="58"/>
      <c r="B267" s="59"/>
      <c r="C267" s="83" t="s">
        <v>273</v>
      </c>
      <c r="D267" s="84"/>
      <c r="E267" s="85"/>
      <c r="F267" s="106"/>
      <c r="G267" s="107"/>
      <c r="H267" s="73"/>
      <c r="I267" s="74"/>
      <c r="J267" s="79"/>
      <c r="K267" s="80"/>
      <c r="L267" s="79"/>
      <c r="M267" s="80"/>
      <c r="N267" s="79"/>
      <c r="O267" s="80"/>
    </row>
    <row r="268" spans="1:15" ht="14.25" customHeight="1">
      <c r="A268" s="60"/>
      <c r="B268" s="61"/>
      <c r="C268" s="86" t="s">
        <v>274</v>
      </c>
      <c r="D268" s="87"/>
      <c r="E268" s="97"/>
      <c r="F268" s="108"/>
      <c r="G268" s="109"/>
      <c r="H268" s="75"/>
      <c r="I268" s="76"/>
      <c r="J268" s="81"/>
      <c r="K268" s="82"/>
      <c r="L268" s="81"/>
      <c r="M268" s="82"/>
      <c r="N268" s="81"/>
      <c r="O268" s="82"/>
    </row>
    <row r="269" spans="1:15" ht="14.25" customHeight="1">
      <c r="A269" s="46">
        <v>31010</v>
      </c>
      <c r="B269" s="47"/>
      <c r="C269" s="48" t="s">
        <v>275</v>
      </c>
      <c r="D269" s="49"/>
      <c r="E269" s="50"/>
      <c r="F269" s="51" t="s">
        <v>58</v>
      </c>
      <c r="G269" s="52"/>
      <c r="H269" s="44">
        <v>7214</v>
      </c>
      <c r="I269" s="45"/>
      <c r="J269" s="44">
        <v>5000</v>
      </c>
      <c r="K269" s="45"/>
      <c r="L269" s="44">
        <v>5000</v>
      </c>
      <c r="M269" s="45"/>
      <c r="N269" s="44">
        <v>5000</v>
      </c>
      <c r="O269" s="45"/>
    </row>
    <row r="270" spans="1:15" ht="14.25" customHeight="1">
      <c r="A270" s="46">
        <v>31011</v>
      </c>
      <c r="B270" s="47"/>
      <c r="C270" s="48" t="s">
        <v>276</v>
      </c>
      <c r="D270" s="49"/>
      <c r="E270" s="50"/>
      <c r="F270" s="51" t="s">
        <v>58</v>
      </c>
      <c r="G270" s="52"/>
      <c r="H270" s="44">
        <v>9424</v>
      </c>
      <c r="I270" s="45"/>
      <c r="J270" s="44">
        <v>5000</v>
      </c>
      <c r="K270" s="45"/>
      <c r="L270" s="44">
        <v>5000</v>
      </c>
      <c r="M270" s="45"/>
      <c r="N270" s="44">
        <v>5000</v>
      </c>
      <c r="O270" s="45"/>
    </row>
    <row r="271" spans="1:15" ht="28.5" customHeight="1">
      <c r="A271" s="46">
        <v>21115</v>
      </c>
      <c r="B271" s="47"/>
      <c r="C271" s="53" t="s">
        <v>277</v>
      </c>
      <c r="D271" s="54"/>
      <c r="E271" s="55"/>
      <c r="F271" s="51" t="s">
        <v>20</v>
      </c>
      <c r="G271" s="52"/>
      <c r="H271" s="44">
        <v>8203</v>
      </c>
      <c r="I271" s="45"/>
      <c r="J271" s="44">
        <v>5000</v>
      </c>
      <c r="K271" s="45"/>
      <c r="L271" s="44">
        <v>5000</v>
      </c>
      <c r="M271" s="45"/>
      <c r="N271" s="44">
        <v>5000</v>
      </c>
      <c r="O271" s="45"/>
    </row>
    <row r="272" spans="1:15" ht="28.5" customHeight="1">
      <c r="A272" s="46">
        <v>21105</v>
      </c>
      <c r="B272" s="47"/>
      <c r="C272" s="53" t="s">
        <v>278</v>
      </c>
      <c r="D272" s="54"/>
      <c r="E272" s="55"/>
      <c r="F272" s="51" t="s">
        <v>20</v>
      </c>
      <c r="G272" s="52"/>
      <c r="H272" s="44">
        <v>9878</v>
      </c>
      <c r="I272" s="45"/>
      <c r="J272" s="44">
        <v>5000</v>
      </c>
      <c r="K272" s="45"/>
      <c r="L272" s="44">
        <v>5000</v>
      </c>
      <c r="M272" s="45"/>
      <c r="N272" s="44">
        <v>5000</v>
      </c>
      <c r="O272" s="45"/>
    </row>
    <row r="273" spans="1:15" ht="28.5" customHeight="1">
      <c r="A273" s="46">
        <v>31076</v>
      </c>
      <c r="B273" s="47"/>
      <c r="C273" s="53" t="s">
        <v>279</v>
      </c>
      <c r="D273" s="54"/>
      <c r="E273" s="55"/>
      <c r="F273" s="51" t="s">
        <v>58</v>
      </c>
      <c r="G273" s="52"/>
      <c r="H273" s="44">
        <v>8526</v>
      </c>
      <c r="I273" s="45"/>
      <c r="J273" s="44">
        <v>5000</v>
      </c>
      <c r="K273" s="45"/>
      <c r="L273" s="44">
        <v>5000</v>
      </c>
      <c r="M273" s="45"/>
      <c r="N273" s="44">
        <v>5000</v>
      </c>
      <c r="O273" s="45"/>
    </row>
    <row r="274" spans="1:15" ht="28.5" customHeight="1">
      <c r="A274" s="46">
        <v>31077</v>
      </c>
      <c r="B274" s="47"/>
      <c r="C274" s="53" t="s">
        <v>280</v>
      </c>
      <c r="D274" s="54"/>
      <c r="E274" s="55"/>
      <c r="F274" s="51" t="s">
        <v>58</v>
      </c>
      <c r="G274" s="52"/>
      <c r="H274" s="44">
        <v>7060</v>
      </c>
      <c r="I274" s="45"/>
      <c r="J274" s="44">
        <v>5000</v>
      </c>
      <c r="K274" s="45"/>
      <c r="L274" s="44">
        <v>5000</v>
      </c>
      <c r="M274" s="45"/>
      <c r="N274" s="44">
        <v>5000</v>
      </c>
      <c r="O274" s="45"/>
    </row>
    <row r="275" spans="1:15" ht="14.25" customHeight="1">
      <c r="A275" s="46">
        <v>71042</v>
      </c>
      <c r="B275" s="47"/>
      <c r="C275" s="48" t="s">
        <v>281</v>
      </c>
      <c r="D275" s="49"/>
      <c r="E275" s="50"/>
      <c r="F275" s="51" t="s">
        <v>18</v>
      </c>
      <c r="G275" s="52"/>
      <c r="H275" s="44">
        <v>7776</v>
      </c>
      <c r="I275" s="45"/>
      <c r="J275" s="44">
        <v>5000</v>
      </c>
      <c r="K275" s="45"/>
      <c r="L275" s="44">
        <v>5000</v>
      </c>
      <c r="M275" s="45"/>
      <c r="N275" s="44">
        <v>5000</v>
      </c>
      <c r="O275" s="45"/>
    </row>
    <row r="276" spans="1:15" ht="14.25" customHeight="1">
      <c r="A276" s="46">
        <v>31065</v>
      </c>
      <c r="B276" s="47"/>
      <c r="C276" s="48" t="s">
        <v>282</v>
      </c>
      <c r="D276" s="49"/>
      <c r="E276" s="50"/>
      <c r="F276" s="51" t="s">
        <v>58</v>
      </c>
      <c r="G276" s="52"/>
      <c r="H276" s="44">
        <v>7538</v>
      </c>
      <c r="I276" s="45"/>
      <c r="J276" s="44">
        <v>5000</v>
      </c>
      <c r="K276" s="45"/>
      <c r="L276" s="44">
        <v>5000</v>
      </c>
      <c r="M276" s="45"/>
      <c r="N276" s="44">
        <v>5000</v>
      </c>
      <c r="O276" s="45"/>
    </row>
    <row r="277" spans="1:15" ht="14.25" customHeight="1">
      <c r="A277" s="56">
        <v>31015</v>
      </c>
      <c r="B277" s="57"/>
      <c r="C277" s="62" t="s">
        <v>283</v>
      </c>
      <c r="D277" s="63"/>
      <c r="E277" s="64"/>
      <c r="F277" s="104" t="s">
        <v>58</v>
      </c>
      <c r="G277" s="105"/>
      <c r="H277" s="77">
        <v>9085</v>
      </c>
      <c r="I277" s="78"/>
      <c r="J277" s="77">
        <v>5000</v>
      </c>
      <c r="K277" s="78"/>
      <c r="L277" s="77">
        <v>5000</v>
      </c>
      <c r="M277" s="78"/>
      <c r="N277" s="77">
        <v>5000</v>
      </c>
      <c r="O277" s="78"/>
    </row>
    <row r="278" spans="1:15" ht="14.25" customHeight="1">
      <c r="A278" s="58"/>
      <c r="B278" s="59"/>
      <c r="C278" s="83" t="s">
        <v>284</v>
      </c>
      <c r="D278" s="84"/>
      <c r="E278" s="85"/>
      <c r="F278" s="106"/>
      <c r="G278" s="107"/>
      <c r="H278" s="79"/>
      <c r="I278" s="80"/>
      <c r="J278" s="79"/>
      <c r="K278" s="80"/>
      <c r="L278" s="79"/>
      <c r="M278" s="80"/>
      <c r="N278" s="79"/>
      <c r="O278" s="80"/>
    </row>
    <row r="279" spans="1:15" ht="14.25" customHeight="1">
      <c r="A279" s="60"/>
      <c r="B279" s="61"/>
      <c r="C279" s="86" t="s">
        <v>285</v>
      </c>
      <c r="D279" s="87"/>
      <c r="E279" s="97"/>
      <c r="F279" s="108"/>
      <c r="G279" s="109"/>
      <c r="H279" s="81"/>
      <c r="I279" s="82"/>
      <c r="J279" s="81"/>
      <c r="K279" s="82"/>
      <c r="L279" s="81"/>
      <c r="M279" s="82"/>
      <c r="N279" s="81"/>
      <c r="O279" s="82"/>
    </row>
    <row r="280" spans="1:15" ht="14.25" customHeight="1">
      <c r="A280" s="56">
        <v>31086</v>
      </c>
      <c r="B280" s="57"/>
      <c r="C280" s="62" t="s">
        <v>286</v>
      </c>
      <c r="D280" s="63"/>
      <c r="E280" s="64"/>
      <c r="F280" s="104" t="s">
        <v>58</v>
      </c>
      <c r="G280" s="105"/>
      <c r="H280" s="77">
        <v>8876</v>
      </c>
      <c r="I280" s="78"/>
      <c r="J280" s="77">
        <v>5000</v>
      </c>
      <c r="K280" s="78"/>
      <c r="L280" s="77">
        <v>5000</v>
      </c>
      <c r="M280" s="78"/>
      <c r="N280" s="77">
        <v>5000</v>
      </c>
      <c r="O280" s="78"/>
    </row>
    <row r="281" spans="1:15" ht="14.25" customHeight="1">
      <c r="A281" s="58"/>
      <c r="B281" s="59"/>
      <c r="C281" s="83" t="s">
        <v>287</v>
      </c>
      <c r="D281" s="84"/>
      <c r="E281" s="85"/>
      <c r="F281" s="106"/>
      <c r="G281" s="107"/>
      <c r="H281" s="79"/>
      <c r="I281" s="80"/>
      <c r="J281" s="79"/>
      <c r="K281" s="80"/>
      <c r="L281" s="79"/>
      <c r="M281" s="80"/>
      <c r="N281" s="79"/>
      <c r="O281" s="80"/>
    </row>
    <row r="282" spans="1:15" ht="14.25" customHeight="1">
      <c r="A282" s="60"/>
      <c r="B282" s="61"/>
      <c r="C282" s="86" t="s">
        <v>288</v>
      </c>
      <c r="D282" s="87"/>
      <c r="E282" s="97"/>
      <c r="F282" s="108"/>
      <c r="G282" s="109"/>
      <c r="H282" s="81"/>
      <c r="I282" s="82"/>
      <c r="J282" s="81"/>
      <c r="K282" s="82"/>
      <c r="L282" s="81"/>
      <c r="M282" s="82"/>
      <c r="N282" s="81"/>
      <c r="O282" s="82"/>
    </row>
    <row r="283" spans="1:15" ht="14.25" customHeight="1">
      <c r="A283" s="113">
        <v>31111</v>
      </c>
      <c r="B283" s="114"/>
      <c r="C283" s="62" t="s">
        <v>289</v>
      </c>
      <c r="D283" s="63"/>
      <c r="E283" s="64"/>
      <c r="F283" s="119" t="s">
        <v>58</v>
      </c>
      <c r="G283" s="120"/>
      <c r="H283" s="125">
        <v>11260</v>
      </c>
      <c r="I283" s="126"/>
      <c r="J283" s="131">
        <v>5000</v>
      </c>
      <c r="K283" s="132"/>
      <c r="L283" s="131">
        <v>6000</v>
      </c>
      <c r="M283" s="132"/>
      <c r="N283" s="131">
        <v>5000</v>
      </c>
      <c r="O283" s="132"/>
    </row>
    <row r="284" spans="1:15" ht="28.5" customHeight="1">
      <c r="A284" s="115"/>
      <c r="B284" s="116"/>
      <c r="C284" s="110" t="s">
        <v>290</v>
      </c>
      <c r="D284" s="111"/>
      <c r="E284" s="112"/>
      <c r="F284" s="121"/>
      <c r="G284" s="122"/>
      <c r="H284" s="127"/>
      <c r="I284" s="128"/>
      <c r="J284" s="133"/>
      <c r="K284" s="134"/>
      <c r="L284" s="133"/>
      <c r="M284" s="134"/>
      <c r="N284" s="133"/>
      <c r="O284" s="134"/>
    </row>
    <row r="285" spans="1:15" ht="14.25" customHeight="1">
      <c r="A285" s="117"/>
      <c r="B285" s="118"/>
      <c r="C285" s="86" t="s">
        <v>288</v>
      </c>
      <c r="D285" s="87"/>
      <c r="E285" s="97"/>
      <c r="F285" s="123"/>
      <c r="G285" s="124"/>
      <c r="H285" s="129"/>
      <c r="I285" s="130"/>
      <c r="J285" s="135"/>
      <c r="K285" s="136"/>
      <c r="L285" s="135"/>
      <c r="M285" s="136"/>
      <c r="N285" s="135"/>
      <c r="O285" s="136"/>
    </row>
    <row r="286" spans="1:15" ht="14.25" customHeight="1">
      <c r="A286" s="46">
        <v>41068</v>
      </c>
      <c r="B286" s="47"/>
      <c r="C286" s="48" t="s">
        <v>291</v>
      </c>
      <c r="D286" s="49"/>
      <c r="E286" s="50"/>
      <c r="F286" s="51" t="s">
        <v>11</v>
      </c>
      <c r="G286" s="52"/>
      <c r="H286" s="44">
        <v>9038</v>
      </c>
      <c r="I286" s="45"/>
      <c r="J286" s="44">
        <v>5000</v>
      </c>
      <c r="K286" s="45"/>
      <c r="L286" s="44">
        <v>5000</v>
      </c>
      <c r="M286" s="45"/>
      <c r="N286" s="44">
        <v>5000</v>
      </c>
      <c r="O286" s="45"/>
    </row>
    <row r="287" spans="1:15" ht="28.5" customHeight="1">
      <c r="A287" s="46">
        <v>41057</v>
      </c>
      <c r="B287" s="47"/>
      <c r="C287" s="53" t="s">
        <v>292</v>
      </c>
      <c r="D287" s="54"/>
      <c r="E287" s="55"/>
      <c r="F287" s="51" t="s">
        <v>11</v>
      </c>
      <c r="G287" s="52"/>
      <c r="H287" s="44">
        <v>6980</v>
      </c>
      <c r="I287" s="45"/>
      <c r="J287" s="44">
        <v>5000</v>
      </c>
      <c r="K287" s="45"/>
      <c r="L287" s="44">
        <v>5000</v>
      </c>
      <c r="M287" s="45"/>
      <c r="N287" s="44">
        <v>5000</v>
      </c>
      <c r="O287" s="45"/>
    </row>
    <row r="288" spans="1:15" ht="14.25" customHeight="1">
      <c r="A288" s="46">
        <v>31053</v>
      </c>
      <c r="B288" s="47"/>
      <c r="C288" s="48" t="s">
        <v>293</v>
      </c>
      <c r="D288" s="49"/>
      <c r="E288" s="50"/>
      <c r="F288" s="51" t="s">
        <v>58</v>
      </c>
      <c r="G288" s="52"/>
      <c r="H288" s="44">
        <v>9032</v>
      </c>
      <c r="I288" s="45"/>
      <c r="J288" s="44">
        <v>5000</v>
      </c>
      <c r="K288" s="45"/>
      <c r="L288" s="44">
        <v>5000</v>
      </c>
      <c r="M288" s="45"/>
      <c r="N288" s="44">
        <v>5000</v>
      </c>
      <c r="O288" s="45"/>
    </row>
    <row r="289" spans="1:15" ht="14.25" customHeight="1">
      <c r="A289" s="46">
        <v>81040</v>
      </c>
      <c r="B289" s="47"/>
      <c r="C289" s="48" t="s">
        <v>294</v>
      </c>
      <c r="D289" s="49"/>
      <c r="E289" s="50"/>
      <c r="F289" s="51" t="s">
        <v>23</v>
      </c>
      <c r="G289" s="52"/>
      <c r="H289" s="44">
        <v>7330</v>
      </c>
      <c r="I289" s="45"/>
      <c r="J289" s="44">
        <v>5000</v>
      </c>
      <c r="K289" s="45"/>
      <c r="L289" s="44">
        <v>5000</v>
      </c>
      <c r="M289" s="45"/>
      <c r="N289" s="44">
        <v>5000</v>
      </c>
      <c r="O289" s="45"/>
    </row>
    <row r="290" spans="1:15" ht="14.25" customHeight="1">
      <c r="A290" s="46">
        <v>71037</v>
      </c>
      <c r="B290" s="47"/>
      <c r="C290" s="48" t="s">
        <v>295</v>
      </c>
      <c r="D290" s="49"/>
      <c r="E290" s="50"/>
      <c r="F290" s="51" t="s">
        <v>18</v>
      </c>
      <c r="G290" s="52"/>
      <c r="H290" s="44">
        <v>7102</v>
      </c>
      <c r="I290" s="45"/>
      <c r="J290" s="44">
        <v>5000</v>
      </c>
      <c r="K290" s="45"/>
      <c r="L290" s="44">
        <v>5000</v>
      </c>
      <c r="M290" s="45"/>
      <c r="N290" s="44">
        <v>5000</v>
      </c>
      <c r="O290" s="45"/>
    </row>
    <row r="291" spans="1:15" ht="28.5" customHeight="1">
      <c r="A291" s="46">
        <v>81050</v>
      </c>
      <c r="B291" s="47"/>
      <c r="C291" s="53" t="s">
        <v>296</v>
      </c>
      <c r="D291" s="54"/>
      <c r="E291" s="55"/>
      <c r="F291" s="51" t="s">
        <v>23</v>
      </c>
      <c r="G291" s="52"/>
      <c r="H291" s="44">
        <v>7190</v>
      </c>
      <c r="I291" s="45"/>
      <c r="J291" s="44">
        <v>5000</v>
      </c>
      <c r="K291" s="45"/>
      <c r="L291" s="44">
        <v>5000</v>
      </c>
      <c r="M291" s="45"/>
      <c r="N291" s="44">
        <v>5000</v>
      </c>
      <c r="O291" s="45"/>
    </row>
    <row r="292" spans="1:15" ht="28.5" customHeight="1">
      <c r="A292" s="46">
        <v>71058</v>
      </c>
      <c r="B292" s="47"/>
      <c r="C292" s="53" t="s">
        <v>297</v>
      </c>
      <c r="D292" s="54"/>
      <c r="E292" s="55"/>
      <c r="F292" s="51" t="s">
        <v>18</v>
      </c>
      <c r="G292" s="52"/>
      <c r="H292" s="44">
        <v>9078</v>
      </c>
      <c r="I292" s="45"/>
      <c r="J292" s="44">
        <v>5000</v>
      </c>
      <c r="K292" s="45"/>
      <c r="L292" s="44">
        <v>5000</v>
      </c>
      <c r="M292" s="45"/>
      <c r="N292" s="44">
        <v>5000</v>
      </c>
      <c r="O292" s="45"/>
    </row>
    <row r="293" spans="1:15" ht="29" customHeight="1">
      <c r="A293" s="88" t="s">
        <v>3</v>
      </c>
      <c r="B293" s="88"/>
      <c r="C293" s="89" t="s">
        <v>4</v>
      </c>
      <c r="D293" s="89"/>
      <c r="E293" s="89"/>
      <c r="F293" s="88" t="s">
        <v>5</v>
      </c>
      <c r="G293" s="88"/>
      <c r="H293" s="90" t="s">
        <v>6</v>
      </c>
      <c r="I293" s="90"/>
      <c r="J293" s="88" t="s">
        <v>7</v>
      </c>
      <c r="K293" s="88"/>
      <c r="L293" s="88" t="s">
        <v>8</v>
      </c>
      <c r="M293" s="88"/>
      <c r="N293" s="88" t="s">
        <v>9</v>
      </c>
      <c r="O293" s="88"/>
    </row>
    <row r="294" spans="1:15" ht="28.5" customHeight="1">
      <c r="A294" s="46">
        <v>31124</v>
      </c>
      <c r="B294" s="47"/>
      <c r="C294" s="53" t="s">
        <v>298</v>
      </c>
      <c r="D294" s="54"/>
      <c r="E294" s="55"/>
      <c r="F294" s="51" t="s">
        <v>58</v>
      </c>
      <c r="G294" s="52"/>
      <c r="H294" s="44">
        <v>7856</v>
      </c>
      <c r="I294" s="45"/>
      <c r="J294" s="44">
        <v>5000</v>
      </c>
      <c r="K294" s="45"/>
      <c r="L294" s="44">
        <v>5000</v>
      </c>
      <c r="M294" s="45"/>
      <c r="N294" s="44">
        <v>5000</v>
      </c>
      <c r="O294" s="45"/>
    </row>
    <row r="295" spans="1:15" ht="14.25" customHeight="1">
      <c r="A295" s="46">
        <v>11017</v>
      </c>
      <c r="B295" s="47"/>
      <c r="C295" s="48" t="s">
        <v>299</v>
      </c>
      <c r="D295" s="49"/>
      <c r="E295" s="50"/>
      <c r="F295" s="51" t="s">
        <v>16</v>
      </c>
      <c r="G295" s="52"/>
      <c r="H295" s="44">
        <v>9370</v>
      </c>
      <c r="I295" s="45"/>
      <c r="J295" s="44">
        <v>5000</v>
      </c>
      <c r="K295" s="45"/>
      <c r="L295" s="44">
        <v>5000</v>
      </c>
      <c r="M295" s="45"/>
      <c r="N295" s="44">
        <v>5000</v>
      </c>
      <c r="O295" s="45"/>
    </row>
    <row r="296" spans="1:15" ht="14.25" customHeight="1">
      <c r="A296" s="46">
        <v>31099</v>
      </c>
      <c r="B296" s="47"/>
      <c r="C296" s="48" t="s">
        <v>299</v>
      </c>
      <c r="D296" s="49"/>
      <c r="E296" s="50"/>
      <c r="F296" s="51" t="s">
        <v>58</v>
      </c>
      <c r="G296" s="52"/>
      <c r="H296" s="44">
        <v>10240</v>
      </c>
      <c r="I296" s="45"/>
      <c r="J296" s="44">
        <v>5000</v>
      </c>
      <c r="K296" s="45"/>
      <c r="L296" s="44">
        <v>5000</v>
      </c>
      <c r="M296" s="45"/>
      <c r="N296" s="44">
        <v>5000</v>
      </c>
      <c r="O296" s="45"/>
    </row>
    <row r="297" spans="1:15" ht="28.5" customHeight="1">
      <c r="A297" s="46">
        <v>21106</v>
      </c>
      <c r="B297" s="47"/>
      <c r="C297" s="53" t="s">
        <v>300</v>
      </c>
      <c r="D297" s="54"/>
      <c r="E297" s="55"/>
      <c r="F297" s="51" t="s">
        <v>20</v>
      </c>
      <c r="G297" s="52"/>
      <c r="H297" s="44">
        <v>9482</v>
      </c>
      <c r="I297" s="45"/>
      <c r="J297" s="44">
        <v>5000</v>
      </c>
      <c r="K297" s="45"/>
      <c r="L297" s="44">
        <v>5000</v>
      </c>
      <c r="M297" s="45"/>
      <c r="N297" s="44">
        <v>5000</v>
      </c>
      <c r="O297" s="45"/>
    </row>
    <row r="298" spans="1:15" ht="28.5" customHeight="1">
      <c r="A298" s="46">
        <v>21025</v>
      </c>
      <c r="B298" s="47"/>
      <c r="C298" s="53" t="s">
        <v>301</v>
      </c>
      <c r="D298" s="54"/>
      <c r="E298" s="55"/>
      <c r="F298" s="51" t="s">
        <v>20</v>
      </c>
      <c r="G298" s="52"/>
      <c r="H298" s="44">
        <v>6732</v>
      </c>
      <c r="I298" s="45"/>
      <c r="J298" s="44">
        <v>5000</v>
      </c>
      <c r="K298" s="45"/>
      <c r="L298" s="44">
        <v>5000</v>
      </c>
      <c r="M298" s="45"/>
      <c r="N298" s="44">
        <v>5000</v>
      </c>
      <c r="O298" s="45"/>
    </row>
    <row r="299" spans="1:15" ht="14.25" customHeight="1">
      <c r="A299" s="46">
        <v>31054</v>
      </c>
      <c r="B299" s="47"/>
      <c r="C299" s="48" t="s">
        <v>302</v>
      </c>
      <c r="D299" s="49"/>
      <c r="E299" s="50"/>
      <c r="F299" s="51" t="s">
        <v>58</v>
      </c>
      <c r="G299" s="52"/>
      <c r="H299" s="44">
        <v>9240</v>
      </c>
      <c r="I299" s="45"/>
      <c r="J299" s="44">
        <v>5000</v>
      </c>
      <c r="K299" s="45"/>
      <c r="L299" s="44">
        <v>5000</v>
      </c>
      <c r="M299" s="45"/>
      <c r="N299" s="44">
        <v>5000</v>
      </c>
      <c r="O299" s="45"/>
    </row>
    <row r="300" spans="1:15" ht="14.25" customHeight="1">
      <c r="A300" s="46">
        <v>81021</v>
      </c>
      <c r="B300" s="47"/>
      <c r="C300" s="48" t="s">
        <v>303</v>
      </c>
      <c r="D300" s="49"/>
      <c r="E300" s="50"/>
      <c r="F300" s="51" t="s">
        <v>23</v>
      </c>
      <c r="G300" s="52"/>
      <c r="H300" s="44">
        <v>7244</v>
      </c>
      <c r="I300" s="45"/>
      <c r="J300" s="44">
        <v>5000</v>
      </c>
      <c r="K300" s="45"/>
      <c r="L300" s="44">
        <v>5000</v>
      </c>
      <c r="M300" s="45"/>
      <c r="N300" s="44">
        <v>5000</v>
      </c>
      <c r="O300" s="45"/>
    </row>
    <row r="301" spans="1:15" ht="14.25" customHeight="1">
      <c r="A301" s="46">
        <v>71038</v>
      </c>
      <c r="B301" s="47"/>
      <c r="C301" s="48" t="s">
        <v>304</v>
      </c>
      <c r="D301" s="49"/>
      <c r="E301" s="50"/>
      <c r="F301" s="51" t="s">
        <v>18</v>
      </c>
      <c r="G301" s="52"/>
      <c r="H301" s="44">
        <v>7050</v>
      </c>
      <c r="I301" s="45"/>
      <c r="J301" s="44">
        <v>5000</v>
      </c>
      <c r="K301" s="45"/>
      <c r="L301" s="44">
        <v>5000</v>
      </c>
      <c r="M301" s="45"/>
      <c r="N301" s="44">
        <v>5000</v>
      </c>
      <c r="O301" s="45"/>
    </row>
    <row r="302" spans="1:15" ht="28.5" customHeight="1">
      <c r="A302" s="46">
        <v>21112</v>
      </c>
      <c r="B302" s="47"/>
      <c r="C302" s="53" t="s">
        <v>305</v>
      </c>
      <c r="D302" s="54"/>
      <c r="E302" s="55"/>
      <c r="F302" s="51" t="s">
        <v>20</v>
      </c>
      <c r="G302" s="52"/>
      <c r="H302" s="44">
        <v>6255</v>
      </c>
      <c r="I302" s="45"/>
      <c r="J302" s="44">
        <v>5000</v>
      </c>
      <c r="K302" s="45"/>
      <c r="L302" s="44">
        <v>5000</v>
      </c>
      <c r="M302" s="45"/>
      <c r="N302" s="44">
        <v>5000</v>
      </c>
      <c r="O302" s="45"/>
    </row>
    <row r="303" spans="1:15" ht="28.5" customHeight="1">
      <c r="A303" s="46">
        <v>21127</v>
      </c>
      <c r="B303" s="47"/>
      <c r="C303" s="53" t="s">
        <v>306</v>
      </c>
      <c r="D303" s="54"/>
      <c r="E303" s="55"/>
      <c r="F303" s="51" t="s">
        <v>20</v>
      </c>
      <c r="G303" s="52"/>
      <c r="H303" s="44">
        <v>6007</v>
      </c>
      <c r="I303" s="45"/>
      <c r="J303" s="44">
        <v>5000</v>
      </c>
      <c r="K303" s="45"/>
      <c r="L303" s="44">
        <v>5000</v>
      </c>
      <c r="M303" s="45"/>
      <c r="N303" s="44">
        <v>5000</v>
      </c>
      <c r="O303" s="45"/>
    </row>
    <row r="304" spans="1:15" ht="14.25" customHeight="1">
      <c r="A304" s="46">
        <v>31087</v>
      </c>
      <c r="B304" s="47"/>
      <c r="C304" s="48" t="s">
        <v>307</v>
      </c>
      <c r="D304" s="49"/>
      <c r="E304" s="50"/>
      <c r="F304" s="51" t="s">
        <v>58</v>
      </c>
      <c r="G304" s="52"/>
      <c r="H304" s="44">
        <v>6979</v>
      </c>
      <c r="I304" s="45"/>
      <c r="J304" s="44">
        <v>5000</v>
      </c>
      <c r="K304" s="45"/>
      <c r="L304" s="44">
        <v>5900</v>
      </c>
      <c r="M304" s="45"/>
      <c r="N304" s="44">
        <v>5000</v>
      </c>
      <c r="O304" s="45"/>
    </row>
    <row r="305" spans="1:15" ht="14.25" customHeight="1">
      <c r="A305" s="46">
        <v>41069</v>
      </c>
      <c r="B305" s="47"/>
      <c r="C305" s="48" t="s">
        <v>308</v>
      </c>
      <c r="D305" s="49"/>
      <c r="E305" s="50"/>
      <c r="F305" s="51" t="s">
        <v>11</v>
      </c>
      <c r="G305" s="52"/>
      <c r="H305" s="44">
        <v>10433</v>
      </c>
      <c r="I305" s="45"/>
      <c r="J305" s="44">
        <v>5000</v>
      </c>
      <c r="K305" s="45"/>
      <c r="L305" s="44">
        <v>5000</v>
      </c>
      <c r="M305" s="45"/>
      <c r="N305" s="44">
        <v>5000</v>
      </c>
      <c r="O305" s="45"/>
    </row>
    <row r="306" spans="1:15" ht="14.25" customHeight="1">
      <c r="A306" s="46">
        <v>21022</v>
      </c>
      <c r="B306" s="47"/>
      <c r="C306" s="48" t="s">
        <v>309</v>
      </c>
      <c r="D306" s="49"/>
      <c r="E306" s="50"/>
      <c r="F306" s="51" t="s">
        <v>20</v>
      </c>
      <c r="G306" s="52"/>
      <c r="H306" s="44">
        <v>6634</v>
      </c>
      <c r="I306" s="45"/>
      <c r="J306" s="44">
        <v>5000</v>
      </c>
      <c r="K306" s="45"/>
      <c r="L306" s="44">
        <v>5000</v>
      </c>
      <c r="M306" s="45"/>
      <c r="N306" s="44">
        <v>5000</v>
      </c>
      <c r="O306" s="45"/>
    </row>
    <row r="307" spans="1:15" ht="28.5" customHeight="1">
      <c r="A307" s="46">
        <v>61060</v>
      </c>
      <c r="B307" s="47"/>
      <c r="C307" s="53" t="s">
        <v>310</v>
      </c>
      <c r="D307" s="54"/>
      <c r="E307" s="55"/>
      <c r="F307" s="51" t="s">
        <v>25</v>
      </c>
      <c r="G307" s="52"/>
      <c r="H307" s="44">
        <v>7170</v>
      </c>
      <c r="I307" s="45"/>
      <c r="J307" s="44">
        <v>5000</v>
      </c>
      <c r="K307" s="45"/>
      <c r="L307" s="44">
        <v>5000</v>
      </c>
      <c r="M307" s="45"/>
      <c r="N307" s="44">
        <v>5000</v>
      </c>
      <c r="O307" s="45"/>
    </row>
    <row r="308" spans="1:15" ht="14.25" customHeight="1">
      <c r="A308" s="46">
        <v>31049</v>
      </c>
      <c r="B308" s="47"/>
      <c r="C308" s="48" t="s">
        <v>311</v>
      </c>
      <c r="D308" s="49"/>
      <c r="E308" s="50"/>
      <c r="F308" s="51" t="s">
        <v>58</v>
      </c>
      <c r="G308" s="52"/>
      <c r="H308" s="44">
        <v>9262</v>
      </c>
      <c r="I308" s="45"/>
      <c r="J308" s="44">
        <v>5000</v>
      </c>
      <c r="K308" s="45"/>
      <c r="L308" s="44">
        <v>6960</v>
      </c>
      <c r="M308" s="45"/>
      <c r="N308" s="44">
        <v>5000</v>
      </c>
      <c r="O308" s="45"/>
    </row>
    <row r="309" spans="1:15" ht="28.5" customHeight="1">
      <c r="A309" s="46">
        <v>31112</v>
      </c>
      <c r="B309" s="47"/>
      <c r="C309" s="53" t="s">
        <v>312</v>
      </c>
      <c r="D309" s="54"/>
      <c r="E309" s="55"/>
      <c r="F309" s="51" t="s">
        <v>58</v>
      </c>
      <c r="G309" s="52"/>
      <c r="H309" s="44">
        <v>12936</v>
      </c>
      <c r="I309" s="45"/>
      <c r="J309" s="44">
        <v>5000</v>
      </c>
      <c r="K309" s="45"/>
      <c r="L309" s="44">
        <v>5000</v>
      </c>
      <c r="M309" s="45"/>
      <c r="N309" s="44">
        <v>5000</v>
      </c>
      <c r="O309" s="45"/>
    </row>
    <row r="310" spans="1:15" ht="28.5" customHeight="1">
      <c r="A310" s="46">
        <v>81088</v>
      </c>
      <c r="B310" s="47"/>
      <c r="C310" s="53" t="s">
        <v>313</v>
      </c>
      <c r="D310" s="54"/>
      <c r="E310" s="55"/>
      <c r="F310" s="51" t="s">
        <v>23</v>
      </c>
      <c r="G310" s="52"/>
      <c r="H310" s="44">
        <v>8726</v>
      </c>
      <c r="I310" s="45"/>
      <c r="J310" s="44">
        <v>5000</v>
      </c>
      <c r="K310" s="45"/>
      <c r="L310" s="44">
        <v>5000</v>
      </c>
      <c r="M310" s="45"/>
      <c r="N310" s="44">
        <v>5000</v>
      </c>
      <c r="O310" s="45"/>
    </row>
    <row r="311" spans="1:15" ht="28.5" customHeight="1">
      <c r="A311" s="46">
        <v>31114</v>
      </c>
      <c r="B311" s="47"/>
      <c r="C311" s="53" t="s">
        <v>314</v>
      </c>
      <c r="D311" s="54"/>
      <c r="E311" s="55"/>
      <c r="F311" s="51" t="s">
        <v>58</v>
      </c>
      <c r="G311" s="52"/>
      <c r="H311" s="44">
        <v>10140</v>
      </c>
      <c r="I311" s="45"/>
      <c r="J311" s="44">
        <v>5000</v>
      </c>
      <c r="K311" s="45"/>
      <c r="L311" s="44">
        <v>5000</v>
      </c>
      <c r="M311" s="45"/>
      <c r="N311" s="44">
        <v>5000</v>
      </c>
      <c r="O311" s="45"/>
    </row>
    <row r="312" spans="1:15" ht="28.5" customHeight="1">
      <c r="A312" s="46">
        <v>31115</v>
      </c>
      <c r="B312" s="47"/>
      <c r="C312" s="53" t="s">
        <v>315</v>
      </c>
      <c r="D312" s="54"/>
      <c r="E312" s="55"/>
      <c r="F312" s="51" t="s">
        <v>58</v>
      </c>
      <c r="G312" s="52"/>
      <c r="H312" s="44">
        <v>11098</v>
      </c>
      <c r="I312" s="45"/>
      <c r="J312" s="44">
        <v>5000</v>
      </c>
      <c r="K312" s="45"/>
      <c r="L312" s="44">
        <v>5000</v>
      </c>
      <c r="M312" s="45"/>
      <c r="N312" s="44">
        <v>5000</v>
      </c>
      <c r="O312" s="45"/>
    </row>
    <row r="313" spans="1:15" ht="14.25" customHeight="1">
      <c r="A313" s="46">
        <v>31031</v>
      </c>
      <c r="B313" s="47"/>
      <c r="C313" s="48" t="s">
        <v>316</v>
      </c>
      <c r="D313" s="49"/>
      <c r="E313" s="50"/>
      <c r="F313" s="51" t="s">
        <v>58</v>
      </c>
      <c r="G313" s="52"/>
      <c r="H313" s="44">
        <v>12620</v>
      </c>
      <c r="I313" s="45"/>
      <c r="J313" s="44">
        <v>5000</v>
      </c>
      <c r="K313" s="45"/>
      <c r="L313" s="44">
        <v>7500</v>
      </c>
      <c r="M313" s="45"/>
      <c r="N313" s="44">
        <v>5000</v>
      </c>
      <c r="O313" s="45"/>
    </row>
    <row r="314" spans="1:15" ht="14.25" customHeight="1">
      <c r="A314" s="46">
        <v>31067</v>
      </c>
      <c r="B314" s="47"/>
      <c r="C314" s="48" t="s">
        <v>317</v>
      </c>
      <c r="D314" s="49"/>
      <c r="E314" s="50"/>
      <c r="F314" s="51" t="s">
        <v>58</v>
      </c>
      <c r="G314" s="52"/>
      <c r="H314" s="44">
        <v>12610</v>
      </c>
      <c r="I314" s="45"/>
      <c r="J314" s="44">
        <v>6563</v>
      </c>
      <c r="K314" s="45"/>
      <c r="L314" s="44">
        <v>5000</v>
      </c>
      <c r="M314" s="45"/>
      <c r="N314" s="44">
        <v>5000</v>
      </c>
      <c r="O314" s="45"/>
    </row>
    <row r="315" spans="1:15" ht="14.25" customHeight="1">
      <c r="A315" s="46">
        <v>61014</v>
      </c>
      <c r="B315" s="47"/>
      <c r="C315" s="48" t="s">
        <v>318</v>
      </c>
      <c r="D315" s="49"/>
      <c r="E315" s="50"/>
      <c r="F315" s="51" t="s">
        <v>25</v>
      </c>
      <c r="G315" s="52"/>
      <c r="H315" s="44">
        <v>5324</v>
      </c>
      <c r="I315" s="45"/>
      <c r="J315" s="44">
        <v>5000</v>
      </c>
      <c r="K315" s="45"/>
      <c r="L315" s="44">
        <v>5000</v>
      </c>
      <c r="M315" s="45"/>
      <c r="N315" s="44">
        <v>5000</v>
      </c>
      <c r="O315" s="45"/>
    </row>
    <row r="316" spans="1:15" ht="14.25" customHeight="1">
      <c r="A316" s="46">
        <v>11018</v>
      </c>
      <c r="B316" s="47"/>
      <c r="C316" s="48" t="s">
        <v>319</v>
      </c>
      <c r="D316" s="49"/>
      <c r="E316" s="50"/>
      <c r="F316" s="51" t="s">
        <v>16</v>
      </c>
      <c r="G316" s="52"/>
      <c r="H316" s="44">
        <v>10246</v>
      </c>
      <c r="I316" s="45"/>
      <c r="J316" s="44">
        <v>5000</v>
      </c>
      <c r="K316" s="45"/>
      <c r="L316" s="44">
        <v>6420</v>
      </c>
      <c r="M316" s="45"/>
      <c r="N316" s="44">
        <v>5000</v>
      </c>
      <c r="O316" s="45"/>
    </row>
    <row r="317" spans="1:15" ht="14.25" customHeight="1">
      <c r="A317" s="46">
        <v>31059</v>
      </c>
      <c r="B317" s="47"/>
      <c r="C317" s="48" t="s">
        <v>319</v>
      </c>
      <c r="D317" s="49"/>
      <c r="E317" s="50"/>
      <c r="F317" s="51" t="s">
        <v>58</v>
      </c>
      <c r="G317" s="52"/>
      <c r="H317" s="44">
        <v>10622</v>
      </c>
      <c r="I317" s="45"/>
      <c r="J317" s="44">
        <v>5000</v>
      </c>
      <c r="K317" s="45"/>
      <c r="L317" s="44">
        <v>5000</v>
      </c>
      <c r="M317" s="45"/>
      <c r="N317" s="44">
        <v>5000</v>
      </c>
      <c r="O317" s="45"/>
    </row>
    <row r="318" spans="1:15" ht="14.25" customHeight="1">
      <c r="A318" s="46">
        <v>21071</v>
      </c>
      <c r="B318" s="47"/>
      <c r="C318" s="48" t="s">
        <v>320</v>
      </c>
      <c r="D318" s="49"/>
      <c r="E318" s="50"/>
      <c r="F318" s="51" t="s">
        <v>20</v>
      </c>
      <c r="G318" s="52"/>
      <c r="H318" s="44">
        <v>9959</v>
      </c>
      <c r="I318" s="45"/>
      <c r="J318" s="44">
        <v>5000</v>
      </c>
      <c r="K318" s="45"/>
      <c r="L318" s="44">
        <v>6080</v>
      </c>
      <c r="M318" s="45"/>
      <c r="N318" s="44">
        <v>5000</v>
      </c>
      <c r="O318" s="45"/>
    </row>
    <row r="319" spans="1:15" ht="14.25" customHeight="1">
      <c r="A319" s="46">
        <v>81042</v>
      </c>
      <c r="B319" s="47"/>
      <c r="C319" s="48" t="s">
        <v>321</v>
      </c>
      <c r="D319" s="49"/>
      <c r="E319" s="50"/>
      <c r="F319" s="51" t="s">
        <v>23</v>
      </c>
      <c r="G319" s="52"/>
      <c r="H319" s="44">
        <v>8631</v>
      </c>
      <c r="I319" s="45"/>
      <c r="J319" s="44">
        <v>5000</v>
      </c>
      <c r="K319" s="45"/>
      <c r="L319" s="44">
        <v>5000</v>
      </c>
      <c r="M319" s="45"/>
      <c r="N319" s="44">
        <v>5000</v>
      </c>
      <c r="O319" s="45"/>
    </row>
    <row r="320" spans="1:15" ht="14.25" customHeight="1">
      <c r="A320" s="46">
        <v>61074</v>
      </c>
      <c r="B320" s="47"/>
      <c r="C320" s="48" t="s">
        <v>322</v>
      </c>
      <c r="D320" s="49"/>
      <c r="E320" s="50"/>
      <c r="F320" s="51" t="s">
        <v>25</v>
      </c>
      <c r="G320" s="52"/>
      <c r="H320" s="44">
        <v>7930</v>
      </c>
      <c r="I320" s="45"/>
      <c r="J320" s="44">
        <v>5000</v>
      </c>
      <c r="K320" s="45"/>
      <c r="L320" s="44">
        <v>5000</v>
      </c>
      <c r="M320" s="45"/>
      <c r="N320" s="44">
        <v>5000</v>
      </c>
      <c r="O320" s="45"/>
    </row>
    <row r="321" spans="1:15" ht="14.25" customHeight="1">
      <c r="A321" s="46">
        <v>61015</v>
      </c>
      <c r="B321" s="47"/>
      <c r="C321" s="48" t="s">
        <v>323</v>
      </c>
      <c r="D321" s="49"/>
      <c r="E321" s="50"/>
      <c r="F321" s="51" t="s">
        <v>25</v>
      </c>
      <c r="G321" s="52"/>
      <c r="H321" s="44">
        <v>8102</v>
      </c>
      <c r="I321" s="45"/>
      <c r="J321" s="44">
        <v>5000</v>
      </c>
      <c r="K321" s="45"/>
      <c r="L321" s="44">
        <v>5000</v>
      </c>
      <c r="M321" s="45"/>
      <c r="N321" s="44">
        <v>5000</v>
      </c>
      <c r="O321" s="45"/>
    </row>
    <row r="322" spans="1:15" ht="14.25" customHeight="1">
      <c r="A322" s="46">
        <v>71039</v>
      </c>
      <c r="B322" s="47"/>
      <c r="C322" s="48" t="s">
        <v>324</v>
      </c>
      <c r="D322" s="49"/>
      <c r="E322" s="50"/>
      <c r="F322" s="51" t="s">
        <v>18</v>
      </c>
      <c r="G322" s="52"/>
      <c r="H322" s="44">
        <v>8673</v>
      </c>
      <c r="I322" s="45"/>
      <c r="J322" s="44">
        <v>5000</v>
      </c>
      <c r="K322" s="45"/>
      <c r="L322" s="44">
        <v>5000</v>
      </c>
      <c r="M322" s="45"/>
      <c r="N322" s="44">
        <v>5000</v>
      </c>
      <c r="O322" s="45"/>
    </row>
    <row r="323" spans="1:15" ht="14.25" customHeight="1">
      <c r="A323" s="46">
        <v>31037</v>
      </c>
      <c r="B323" s="47"/>
      <c r="C323" s="48" t="s">
        <v>325</v>
      </c>
      <c r="D323" s="49"/>
      <c r="E323" s="50"/>
      <c r="F323" s="51" t="s">
        <v>58</v>
      </c>
      <c r="G323" s="52"/>
      <c r="H323" s="44">
        <v>9736</v>
      </c>
      <c r="I323" s="45"/>
      <c r="J323" s="44">
        <v>5000</v>
      </c>
      <c r="K323" s="45"/>
      <c r="L323" s="44">
        <v>5000</v>
      </c>
      <c r="M323" s="45"/>
      <c r="N323" s="44">
        <v>5000</v>
      </c>
      <c r="O323" s="45"/>
    </row>
    <row r="324" spans="1:15" ht="28.5" customHeight="1">
      <c r="A324" s="46">
        <v>31116</v>
      </c>
      <c r="B324" s="47"/>
      <c r="C324" s="53" t="s">
        <v>326</v>
      </c>
      <c r="D324" s="54"/>
      <c r="E324" s="55"/>
      <c r="F324" s="51" t="s">
        <v>58</v>
      </c>
      <c r="G324" s="52"/>
      <c r="H324" s="44">
        <v>11804</v>
      </c>
      <c r="I324" s="45"/>
      <c r="J324" s="44">
        <v>7625</v>
      </c>
      <c r="K324" s="45"/>
      <c r="L324" s="44">
        <v>7000</v>
      </c>
      <c r="M324" s="45"/>
      <c r="N324" s="44">
        <v>5000</v>
      </c>
      <c r="O324" s="45"/>
    </row>
    <row r="325" spans="1:15" ht="28.5" customHeight="1">
      <c r="A325" s="46">
        <v>61076</v>
      </c>
      <c r="B325" s="47"/>
      <c r="C325" s="53" t="s">
        <v>327</v>
      </c>
      <c r="D325" s="54"/>
      <c r="E325" s="55"/>
      <c r="F325" s="51" t="s">
        <v>25</v>
      </c>
      <c r="G325" s="52"/>
      <c r="H325" s="44">
        <v>7735</v>
      </c>
      <c r="I325" s="45"/>
      <c r="J325" s="44">
        <v>5000</v>
      </c>
      <c r="K325" s="45"/>
      <c r="L325" s="44">
        <v>5000</v>
      </c>
      <c r="M325" s="45"/>
      <c r="N325" s="44">
        <v>5000</v>
      </c>
      <c r="O325" s="45"/>
    </row>
    <row r="326" spans="1:15" ht="14.25" customHeight="1">
      <c r="A326" s="46">
        <v>11016</v>
      </c>
      <c r="B326" s="47"/>
      <c r="C326" s="48" t="s">
        <v>328</v>
      </c>
      <c r="D326" s="49"/>
      <c r="E326" s="50"/>
      <c r="F326" s="51" t="s">
        <v>16</v>
      </c>
      <c r="G326" s="52"/>
      <c r="H326" s="44">
        <v>12898</v>
      </c>
      <c r="I326" s="45"/>
      <c r="J326" s="44">
        <v>5000</v>
      </c>
      <c r="K326" s="45"/>
      <c r="L326" s="44">
        <v>7670</v>
      </c>
      <c r="M326" s="45"/>
      <c r="N326" s="44">
        <v>5000</v>
      </c>
      <c r="O326" s="45"/>
    </row>
    <row r="327" spans="1:15" ht="28.5" customHeight="1">
      <c r="A327" s="46">
        <v>41047</v>
      </c>
      <c r="B327" s="47"/>
      <c r="C327" s="53" t="s">
        <v>329</v>
      </c>
      <c r="D327" s="54"/>
      <c r="E327" s="55"/>
      <c r="F327" s="51" t="s">
        <v>11</v>
      </c>
      <c r="G327" s="52"/>
      <c r="H327" s="44">
        <v>7236</v>
      </c>
      <c r="I327" s="45"/>
      <c r="J327" s="44">
        <v>5000</v>
      </c>
      <c r="K327" s="45"/>
      <c r="L327" s="44">
        <v>5000</v>
      </c>
      <c r="M327" s="45"/>
      <c r="N327" s="44">
        <v>5000</v>
      </c>
      <c r="O327" s="45"/>
    </row>
    <row r="328" spans="1:15" ht="14.25" customHeight="1">
      <c r="A328" s="46">
        <v>41070</v>
      </c>
      <c r="B328" s="47"/>
      <c r="C328" s="48" t="s">
        <v>330</v>
      </c>
      <c r="D328" s="49"/>
      <c r="E328" s="50"/>
      <c r="F328" s="51" t="s">
        <v>11</v>
      </c>
      <c r="G328" s="52"/>
      <c r="H328" s="44">
        <v>11818</v>
      </c>
      <c r="I328" s="45"/>
      <c r="J328" s="44">
        <v>5000</v>
      </c>
      <c r="K328" s="45"/>
      <c r="L328" s="44">
        <v>8480</v>
      </c>
      <c r="M328" s="45"/>
      <c r="N328" s="44">
        <v>5000</v>
      </c>
      <c r="O328" s="45"/>
    </row>
    <row r="329" spans="1:15" ht="14.25" customHeight="1">
      <c r="A329" s="46">
        <v>71081</v>
      </c>
      <c r="B329" s="47"/>
      <c r="C329" s="48" t="s">
        <v>331</v>
      </c>
      <c r="D329" s="49"/>
      <c r="E329" s="50"/>
      <c r="F329" s="51" t="s">
        <v>18</v>
      </c>
      <c r="G329" s="52"/>
      <c r="H329" s="44">
        <v>11810</v>
      </c>
      <c r="I329" s="45"/>
      <c r="J329" s="44">
        <v>5000</v>
      </c>
      <c r="K329" s="45"/>
      <c r="L329" s="44">
        <v>6170</v>
      </c>
      <c r="M329" s="45"/>
      <c r="N329" s="44">
        <v>5000</v>
      </c>
      <c r="O329" s="45"/>
    </row>
    <row r="330" spans="1:15" ht="14.25" customHeight="1">
      <c r="A330" s="46">
        <v>21026</v>
      </c>
      <c r="B330" s="47"/>
      <c r="C330" s="48" t="s">
        <v>332</v>
      </c>
      <c r="D330" s="49"/>
      <c r="E330" s="50"/>
      <c r="F330" s="51" t="s">
        <v>20</v>
      </c>
      <c r="G330" s="52"/>
      <c r="H330" s="44">
        <v>7109</v>
      </c>
      <c r="I330" s="45"/>
      <c r="J330" s="44">
        <v>5000</v>
      </c>
      <c r="K330" s="45"/>
      <c r="L330" s="44">
        <v>5000</v>
      </c>
      <c r="M330" s="45"/>
      <c r="N330" s="44">
        <v>5000</v>
      </c>
      <c r="O330" s="45"/>
    </row>
    <row r="331" spans="1:15" ht="14.25" customHeight="1">
      <c r="A331" s="46">
        <v>31027</v>
      </c>
      <c r="B331" s="47"/>
      <c r="C331" s="48" t="s">
        <v>333</v>
      </c>
      <c r="D331" s="49"/>
      <c r="E331" s="50"/>
      <c r="F331" s="51" t="s">
        <v>58</v>
      </c>
      <c r="G331" s="52"/>
      <c r="H331" s="44">
        <v>10140</v>
      </c>
      <c r="I331" s="45"/>
      <c r="J331" s="44">
        <v>5000</v>
      </c>
      <c r="K331" s="45"/>
      <c r="L331" s="44">
        <v>5000</v>
      </c>
      <c r="M331" s="45"/>
      <c r="N331" s="44">
        <v>5000</v>
      </c>
      <c r="O331" s="45"/>
    </row>
    <row r="332" spans="1:15" ht="14.25" customHeight="1">
      <c r="A332" s="46">
        <v>81022</v>
      </c>
      <c r="B332" s="47"/>
      <c r="C332" s="48" t="s">
        <v>334</v>
      </c>
      <c r="D332" s="49"/>
      <c r="E332" s="50"/>
      <c r="F332" s="51" t="s">
        <v>23</v>
      </c>
      <c r="G332" s="52"/>
      <c r="H332" s="44">
        <v>8077</v>
      </c>
      <c r="I332" s="45"/>
      <c r="J332" s="44">
        <v>5000</v>
      </c>
      <c r="K332" s="45"/>
      <c r="L332" s="44">
        <v>5000</v>
      </c>
      <c r="M332" s="45"/>
      <c r="N332" s="44">
        <v>5000</v>
      </c>
      <c r="O332" s="45"/>
    </row>
    <row r="333" spans="1:15" ht="14.25" customHeight="1">
      <c r="A333" s="46">
        <v>71040</v>
      </c>
      <c r="B333" s="47"/>
      <c r="C333" s="48" t="s">
        <v>335</v>
      </c>
      <c r="D333" s="49"/>
      <c r="E333" s="50"/>
      <c r="F333" s="51" t="s">
        <v>18</v>
      </c>
      <c r="G333" s="52"/>
      <c r="H333" s="44">
        <v>8120</v>
      </c>
      <c r="I333" s="45"/>
      <c r="J333" s="44">
        <v>5000</v>
      </c>
      <c r="K333" s="45"/>
      <c r="L333" s="44">
        <v>5000</v>
      </c>
      <c r="M333" s="45"/>
      <c r="N333" s="44">
        <v>5000</v>
      </c>
      <c r="O333" s="45"/>
    </row>
    <row r="334" spans="1:15" ht="14.25" customHeight="1">
      <c r="A334" s="46">
        <v>91011</v>
      </c>
      <c r="B334" s="47"/>
      <c r="C334" s="48" t="s">
        <v>336</v>
      </c>
      <c r="D334" s="49"/>
      <c r="E334" s="50"/>
      <c r="F334" s="51" t="s">
        <v>28</v>
      </c>
      <c r="G334" s="52"/>
      <c r="H334" s="44">
        <v>5156</v>
      </c>
      <c r="I334" s="45"/>
      <c r="J334" s="44">
        <v>5000</v>
      </c>
      <c r="K334" s="45"/>
      <c r="L334" s="44">
        <v>5000</v>
      </c>
      <c r="M334" s="45"/>
      <c r="N334" s="44">
        <v>5000</v>
      </c>
      <c r="O334" s="45"/>
    </row>
    <row r="335" spans="1:15" ht="14.25" customHeight="1">
      <c r="A335" s="46">
        <v>11019</v>
      </c>
      <c r="B335" s="47"/>
      <c r="C335" s="48" t="s">
        <v>337</v>
      </c>
      <c r="D335" s="49"/>
      <c r="E335" s="50"/>
      <c r="F335" s="51" t="s">
        <v>16</v>
      </c>
      <c r="G335" s="52"/>
      <c r="H335" s="44">
        <v>11158</v>
      </c>
      <c r="I335" s="45"/>
      <c r="J335" s="44">
        <v>5000</v>
      </c>
      <c r="K335" s="45"/>
      <c r="L335" s="44">
        <v>5000</v>
      </c>
      <c r="M335" s="45"/>
      <c r="N335" s="44">
        <v>6500</v>
      </c>
      <c r="O335" s="45"/>
    </row>
    <row r="336" spans="1:15" ht="14.25" customHeight="1">
      <c r="A336" s="46">
        <v>31055</v>
      </c>
      <c r="B336" s="47"/>
      <c r="C336" s="48" t="s">
        <v>338</v>
      </c>
      <c r="D336" s="49"/>
      <c r="E336" s="50"/>
      <c r="F336" s="51" t="s">
        <v>58</v>
      </c>
      <c r="G336" s="52"/>
      <c r="H336" s="44">
        <v>9844</v>
      </c>
      <c r="I336" s="45"/>
      <c r="J336" s="44">
        <v>5000</v>
      </c>
      <c r="K336" s="45"/>
      <c r="L336" s="44">
        <v>5000</v>
      </c>
      <c r="M336" s="45"/>
      <c r="N336" s="44">
        <v>5000</v>
      </c>
      <c r="O336" s="45"/>
    </row>
    <row r="337" spans="1:15" ht="14.25" customHeight="1">
      <c r="A337" s="46">
        <v>21090</v>
      </c>
      <c r="B337" s="47"/>
      <c r="C337" s="48" t="s">
        <v>339</v>
      </c>
      <c r="D337" s="49"/>
      <c r="E337" s="50"/>
      <c r="F337" s="51" t="s">
        <v>20</v>
      </c>
      <c r="G337" s="52"/>
      <c r="H337" s="44">
        <v>9596</v>
      </c>
      <c r="I337" s="45"/>
      <c r="J337" s="44">
        <v>5000</v>
      </c>
      <c r="K337" s="45"/>
      <c r="L337" s="44">
        <v>5000</v>
      </c>
      <c r="M337" s="45"/>
      <c r="N337" s="44">
        <v>5000</v>
      </c>
      <c r="O337" s="45"/>
    </row>
    <row r="338" spans="1:15" ht="14.25" customHeight="1">
      <c r="A338" s="46">
        <v>81023</v>
      </c>
      <c r="B338" s="47"/>
      <c r="C338" s="48" t="s">
        <v>340</v>
      </c>
      <c r="D338" s="49"/>
      <c r="E338" s="50"/>
      <c r="F338" s="51" t="s">
        <v>23</v>
      </c>
      <c r="G338" s="52"/>
      <c r="H338" s="44">
        <v>8178</v>
      </c>
      <c r="I338" s="45"/>
      <c r="J338" s="44">
        <v>5000</v>
      </c>
      <c r="K338" s="45"/>
      <c r="L338" s="44">
        <v>5000</v>
      </c>
      <c r="M338" s="45"/>
      <c r="N338" s="44">
        <v>5000</v>
      </c>
      <c r="O338" s="45"/>
    </row>
    <row r="339" spans="1:15" ht="14.25" customHeight="1">
      <c r="A339" s="46">
        <v>71041</v>
      </c>
      <c r="B339" s="47"/>
      <c r="C339" s="48" t="s">
        <v>341</v>
      </c>
      <c r="D339" s="49"/>
      <c r="E339" s="50"/>
      <c r="F339" s="51" t="s">
        <v>18</v>
      </c>
      <c r="G339" s="52"/>
      <c r="H339" s="44">
        <v>8742</v>
      </c>
      <c r="I339" s="45"/>
      <c r="J339" s="44">
        <v>5000</v>
      </c>
      <c r="K339" s="45"/>
      <c r="L339" s="44">
        <v>5000</v>
      </c>
      <c r="M339" s="45"/>
      <c r="N339" s="44">
        <v>5000</v>
      </c>
      <c r="O339" s="45"/>
    </row>
    <row r="340" spans="1:15" ht="14.25" customHeight="1">
      <c r="A340" s="46">
        <v>71013</v>
      </c>
      <c r="B340" s="47"/>
      <c r="C340" s="48" t="s">
        <v>342</v>
      </c>
      <c r="D340" s="49"/>
      <c r="E340" s="50"/>
      <c r="F340" s="51" t="s">
        <v>18</v>
      </c>
      <c r="G340" s="52"/>
      <c r="H340" s="44">
        <v>5490</v>
      </c>
      <c r="I340" s="45"/>
      <c r="J340" s="44">
        <v>5000</v>
      </c>
      <c r="K340" s="45"/>
      <c r="L340" s="44">
        <v>5000</v>
      </c>
      <c r="M340" s="45"/>
      <c r="N340" s="44">
        <v>5000</v>
      </c>
      <c r="O340" s="45"/>
    </row>
    <row r="341" spans="1:15" ht="14.25" customHeight="1">
      <c r="A341" s="46">
        <v>91920</v>
      </c>
      <c r="B341" s="47"/>
      <c r="C341" s="48" t="s">
        <v>343</v>
      </c>
      <c r="D341" s="49"/>
      <c r="E341" s="50"/>
      <c r="F341" s="51" t="s">
        <v>195</v>
      </c>
      <c r="G341" s="52"/>
      <c r="H341" s="44">
        <v>10110</v>
      </c>
      <c r="I341" s="45"/>
      <c r="J341" s="44">
        <v>5000</v>
      </c>
      <c r="K341" s="45"/>
      <c r="L341" s="44">
        <v>7670</v>
      </c>
      <c r="M341" s="45"/>
      <c r="N341" s="44">
        <v>5000</v>
      </c>
      <c r="O341" s="45"/>
    </row>
    <row r="342" spans="1:15" ht="14.25" customHeight="1">
      <c r="A342" s="46">
        <v>21128</v>
      </c>
      <c r="B342" s="47"/>
      <c r="C342" s="48" t="s">
        <v>344</v>
      </c>
      <c r="D342" s="49"/>
      <c r="E342" s="50"/>
      <c r="F342" s="51" t="s">
        <v>20</v>
      </c>
      <c r="G342" s="52"/>
      <c r="H342" s="44">
        <v>9500</v>
      </c>
      <c r="I342" s="45"/>
      <c r="J342" s="44">
        <v>5000</v>
      </c>
      <c r="K342" s="45"/>
      <c r="L342" s="44">
        <v>7570</v>
      </c>
      <c r="M342" s="45"/>
      <c r="N342" s="44">
        <v>5000</v>
      </c>
      <c r="O342" s="45"/>
    </row>
    <row r="343" spans="1:15" ht="14.25" customHeight="1">
      <c r="A343" s="46">
        <v>21129</v>
      </c>
      <c r="B343" s="47"/>
      <c r="C343" s="48" t="s">
        <v>345</v>
      </c>
      <c r="D343" s="49"/>
      <c r="E343" s="50"/>
      <c r="F343" s="51" t="s">
        <v>20</v>
      </c>
      <c r="G343" s="52"/>
      <c r="H343" s="44">
        <v>8896</v>
      </c>
      <c r="I343" s="45"/>
      <c r="J343" s="44">
        <v>5000</v>
      </c>
      <c r="K343" s="45"/>
      <c r="L343" s="44">
        <v>5000</v>
      </c>
      <c r="M343" s="45"/>
      <c r="N343" s="44">
        <v>5000</v>
      </c>
      <c r="O343" s="45"/>
    </row>
    <row r="344" spans="1:15" ht="14.25" customHeight="1">
      <c r="A344" s="46">
        <v>11021</v>
      </c>
      <c r="B344" s="47"/>
      <c r="C344" s="48" t="s">
        <v>346</v>
      </c>
      <c r="D344" s="49"/>
      <c r="E344" s="50"/>
      <c r="F344" s="51" t="s">
        <v>16</v>
      </c>
      <c r="G344" s="52"/>
      <c r="H344" s="44">
        <v>5914</v>
      </c>
      <c r="I344" s="45"/>
      <c r="J344" s="44">
        <v>5000</v>
      </c>
      <c r="K344" s="45"/>
      <c r="L344" s="44">
        <v>5000</v>
      </c>
      <c r="M344" s="45"/>
      <c r="N344" s="44">
        <v>5000</v>
      </c>
      <c r="O344" s="45"/>
    </row>
    <row r="345" spans="1:15" ht="14.25" customHeight="1">
      <c r="A345" s="46">
        <v>21135</v>
      </c>
      <c r="B345" s="47"/>
      <c r="C345" s="48" t="s">
        <v>347</v>
      </c>
      <c r="D345" s="49"/>
      <c r="E345" s="50"/>
      <c r="F345" s="51" t="s">
        <v>20</v>
      </c>
      <c r="G345" s="52"/>
      <c r="H345" s="44">
        <v>5594</v>
      </c>
      <c r="I345" s="45"/>
      <c r="J345" s="44">
        <v>5000</v>
      </c>
      <c r="K345" s="45"/>
      <c r="L345" s="44">
        <v>5000</v>
      </c>
      <c r="M345" s="45"/>
      <c r="N345" s="44">
        <v>5000</v>
      </c>
      <c r="O345" s="45"/>
    </row>
    <row r="346" spans="1:15" ht="14.25" customHeight="1">
      <c r="A346" s="46">
        <v>61054</v>
      </c>
      <c r="B346" s="47"/>
      <c r="C346" s="48" t="s">
        <v>348</v>
      </c>
      <c r="D346" s="49"/>
      <c r="E346" s="50"/>
      <c r="F346" s="51" t="s">
        <v>25</v>
      </c>
      <c r="G346" s="52"/>
      <c r="H346" s="44">
        <v>5000</v>
      </c>
      <c r="I346" s="45"/>
      <c r="J346" s="44">
        <v>5000</v>
      </c>
      <c r="K346" s="45"/>
      <c r="L346" s="44">
        <v>5000</v>
      </c>
      <c r="M346" s="45"/>
      <c r="N346" s="44">
        <v>5000</v>
      </c>
      <c r="O346" s="45"/>
    </row>
    <row r="347" spans="1:15" ht="14.25" customHeight="1">
      <c r="A347" s="46">
        <v>61051</v>
      </c>
      <c r="B347" s="47"/>
      <c r="C347" s="48" t="s">
        <v>349</v>
      </c>
      <c r="D347" s="49"/>
      <c r="E347" s="50"/>
      <c r="F347" s="51" t="s">
        <v>25</v>
      </c>
      <c r="G347" s="52"/>
      <c r="H347" s="44">
        <v>5000</v>
      </c>
      <c r="I347" s="45"/>
      <c r="J347" s="44">
        <v>5000</v>
      </c>
      <c r="K347" s="45"/>
      <c r="L347" s="44">
        <v>5000</v>
      </c>
      <c r="M347" s="45"/>
      <c r="N347" s="44">
        <v>5000</v>
      </c>
      <c r="O347" s="45"/>
    </row>
    <row r="348" spans="1:15" ht="14.25" customHeight="1">
      <c r="A348" s="46">
        <v>11094</v>
      </c>
      <c r="B348" s="47"/>
      <c r="C348" s="48" t="s">
        <v>350</v>
      </c>
      <c r="D348" s="49"/>
      <c r="E348" s="50"/>
      <c r="F348" s="51" t="s">
        <v>16</v>
      </c>
      <c r="G348" s="52"/>
      <c r="H348" s="44">
        <v>5000</v>
      </c>
      <c r="I348" s="45"/>
      <c r="J348" s="44">
        <v>6000</v>
      </c>
      <c r="K348" s="45"/>
      <c r="L348" s="44">
        <v>5000</v>
      </c>
      <c r="M348" s="45"/>
      <c r="N348" s="44">
        <v>5000</v>
      </c>
      <c r="O348" s="45"/>
    </row>
    <row r="349" spans="1:15" ht="14.25" customHeight="1">
      <c r="A349" s="46">
        <v>21140</v>
      </c>
      <c r="B349" s="47"/>
      <c r="C349" s="48" t="s">
        <v>351</v>
      </c>
      <c r="D349" s="49"/>
      <c r="E349" s="50"/>
      <c r="F349" s="51" t="s">
        <v>20</v>
      </c>
      <c r="G349" s="52"/>
      <c r="H349" s="44">
        <v>5000</v>
      </c>
      <c r="I349" s="45"/>
      <c r="J349" s="44">
        <v>5000</v>
      </c>
      <c r="K349" s="45"/>
      <c r="L349" s="44">
        <v>7750</v>
      </c>
      <c r="M349" s="45"/>
      <c r="N349" s="44">
        <v>5000</v>
      </c>
      <c r="O349" s="45"/>
    </row>
    <row r="350" spans="1:15" ht="14.25" customHeight="1">
      <c r="A350" s="46">
        <v>21141</v>
      </c>
      <c r="B350" s="47"/>
      <c r="C350" s="48" t="s">
        <v>352</v>
      </c>
      <c r="D350" s="49"/>
      <c r="E350" s="50"/>
      <c r="F350" s="51" t="s">
        <v>20</v>
      </c>
      <c r="G350" s="52"/>
      <c r="H350" s="44">
        <v>5000</v>
      </c>
      <c r="I350" s="45"/>
      <c r="J350" s="44">
        <v>5000</v>
      </c>
      <c r="K350" s="45"/>
      <c r="L350" s="44">
        <v>5000</v>
      </c>
      <c r="M350" s="45"/>
      <c r="N350" s="44">
        <v>5000</v>
      </c>
      <c r="O350" s="45"/>
    </row>
    <row r="351" spans="1:15" ht="14.25" customHeight="1">
      <c r="A351" s="46">
        <v>21142</v>
      </c>
      <c r="B351" s="47"/>
      <c r="C351" s="48" t="s">
        <v>353</v>
      </c>
      <c r="D351" s="49"/>
      <c r="E351" s="50"/>
      <c r="F351" s="51" t="s">
        <v>20</v>
      </c>
      <c r="G351" s="52"/>
      <c r="H351" s="44">
        <v>5000</v>
      </c>
      <c r="I351" s="45"/>
      <c r="J351" s="44">
        <v>5000</v>
      </c>
      <c r="K351" s="45"/>
      <c r="L351" s="44">
        <v>5000</v>
      </c>
      <c r="M351" s="45"/>
      <c r="N351" s="44">
        <v>5000</v>
      </c>
      <c r="O351" s="45"/>
    </row>
    <row r="352" spans="1:15" ht="14.25" customHeight="1">
      <c r="A352" s="46">
        <v>21143</v>
      </c>
      <c r="B352" s="47"/>
      <c r="C352" s="48" t="s">
        <v>354</v>
      </c>
      <c r="D352" s="49"/>
      <c r="E352" s="50"/>
      <c r="F352" s="51" t="s">
        <v>20</v>
      </c>
      <c r="G352" s="52"/>
      <c r="H352" s="44">
        <v>5000</v>
      </c>
      <c r="I352" s="45"/>
      <c r="J352" s="44">
        <v>5000</v>
      </c>
      <c r="K352" s="45"/>
      <c r="L352" s="44">
        <v>5000</v>
      </c>
      <c r="M352" s="45"/>
      <c r="N352" s="44">
        <v>5000</v>
      </c>
      <c r="O352" s="45"/>
    </row>
    <row r="353" spans="1:15" ht="14.25" customHeight="1">
      <c r="A353" s="46">
        <v>21030</v>
      </c>
      <c r="B353" s="47"/>
      <c r="C353" s="48" t="s">
        <v>355</v>
      </c>
      <c r="D353" s="49"/>
      <c r="E353" s="50"/>
      <c r="F353" s="51" t="s">
        <v>20</v>
      </c>
      <c r="G353" s="52"/>
      <c r="H353" s="44">
        <v>6980</v>
      </c>
      <c r="I353" s="45"/>
      <c r="J353" s="44">
        <v>7438</v>
      </c>
      <c r="K353" s="45"/>
      <c r="L353" s="44">
        <v>8500</v>
      </c>
      <c r="M353" s="45"/>
      <c r="N353" s="44">
        <v>5000</v>
      </c>
      <c r="O353" s="45"/>
    </row>
    <row r="354" spans="1:15" ht="14.25" customHeight="1">
      <c r="A354" s="46">
        <v>21067</v>
      </c>
      <c r="B354" s="47"/>
      <c r="C354" s="48" t="s">
        <v>356</v>
      </c>
      <c r="D354" s="49"/>
      <c r="E354" s="50"/>
      <c r="F354" s="51" t="s">
        <v>20</v>
      </c>
      <c r="G354" s="52"/>
      <c r="H354" s="44">
        <v>5880</v>
      </c>
      <c r="I354" s="45"/>
      <c r="J354" s="44">
        <v>5000</v>
      </c>
      <c r="K354" s="45"/>
      <c r="L354" s="44">
        <v>5000</v>
      </c>
      <c r="M354" s="45"/>
      <c r="N354" s="44">
        <v>5000</v>
      </c>
      <c r="O354" s="45"/>
    </row>
    <row r="355" spans="1:15" ht="14.25" customHeight="1">
      <c r="A355" s="46">
        <v>21133</v>
      </c>
      <c r="B355" s="47"/>
      <c r="C355" s="48" t="s">
        <v>357</v>
      </c>
      <c r="D355" s="49"/>
      <c r="E355" s="50"/>
      <c r="F355" s="51" t="s">
        <v>20</v>
      </c>
      <c r="G355" s="52"/>
      <c r="H355" s="44">
        <v>5000</v>
      </c>
      <c r="I355" s="45"/>
      <c r="J355" s="44">
        <v>5000</v>
      </c>
      <c r="K355" s="45"/>
      <c r="L355" s="44">
        <v>5000</v>
      </c>
      <c r="M355" s="45"/>
      <c r="N355" s="44">
        <v>5000</v>
      </c>
      <c r="O355" s="45"/>
    </row>
    <row r="356" spans="1:15" ht="14.25" customHeight="1">
      <c r="A356" s="46">
        <v>21144</v>
      </c>
      <c r="B356" s="47"/>
      <c r="C356" s="48" t="s">
        <v>358</v>
      </c>
      <c r="D356" s="49"/>
      <c r="E356" s="50"/>
      <c r="F356" s="51" t="s">
        <v>20</v>
      </c>
      <c r="G356" s="52"/>
      <c r="H356" s="44">
        <v>5000</v>
      </c>
      <c r="I356" s="45"/>
      <c r="J356" s="44">
        <v>5000</v>
      </c>
      <c r="K356" s="45"/>
      <c r="L356" s="44">
        <v>5000</v>
      </c>
      <c r="M356" s="45"/>
      <c r="N356" s="44">
        <v>5000</v>
      </c>
      <c r="O356" s="45"/>
    </row>
    <row r="357" spans="1:15" ht="14.25" customHeight="1">
      <c r="A357" s="46">
        <v>41065</v>
      </c>
      <c r="B357" s="47"/>
      <c r="C357" s="48" t="s">
        <v>359</v>
      </c>
      <c r="D357" s="49"/>
      <c r="E357" s="50"/>
      <c r="F357" s="51" t="s">
        <v>11</v>
      </c>
      <c r="G357" s="52"/>
      <c r="H357" s="44">
        <v>11724</v>
      </c>
      <c r="I357" s="45"/>
      <c r="J357" s="44">
        <v>5000</v>
      </c>
      <c r="K357" s="45"/>
      <c r="L357" s="44">
        <v>5000</v>
      </c>
      <c r="M357" s="45"/>
      <c r="N357" s="44">
        <v>5000</v>
      </c>
      <c r="O357" s="45"/>
    </row>
    <row r="358" spans="1:15" ht="14.25" customHeight="1">
      <c r="A358" s="56">
        <v>41066</v>
      </c>
      <c r="B358" s="57"/>
      <c r="C358" s="62" t="s">
        <v>360</v>
      </c>
      <c r="D358" s="63"/>
      <c r="E358" s="64"/>
      <c r="F358" s="104" t="s">
        <v>11</v>
      </c>
      <c r="G358" s="105"/>
      <c r="H358" s="77">
        <v>5000</v>
      </c>
      <c r="I358" s="78"/>
      <c r="J358" s="98"/>
      <c r="K358" s="99"/>
      <c r="L358" s="98"/>
      <c r="M358" s="99"/>
      <c r="N358" s="98"/>
      <c r="O358" s="99"/>
    </row>
    <row r="359" spans="1:15" ht="14.25" customHeight="1">
      <c r="A359" s="58"/>
      <c r="B359" s="59"/>
      <c r="C359" s="83" t="s">
        <v>361</v>
      </c>
      <c r="D359" s="84"/>
      <c r="E359" s="85"/>
      <c r="F359" s="106"/>
      <c r="G359" s="107"/>
      <c r="H359" s="79"/>
      <c r="I359" s="80"/>
      <c r="J359" s="100"/>
      <c r="K359" s="101"/>
      <c r="L359" s="100"/>
      <c r="M359" s="101"/>
      <c r="N359" s="100"/>
      <c r="O359" s="101"/>
    </row>
    <row r="360" spans="1:15" ht="14.25" customHeight="1">
      <c r="A360" s="60"/>
      <c r="B360" s="61"/>
      <c r="C360" s="86" t="s">
        <v>362</v>
      </c>
      <c r="D360" s="87"/>
      <c r="E360" s="97"/>
      <c r="F360" s="108"/>
      <c r="G360" s="109"/>
      <c r="H360" s="81"/>
      <c r="I360" s="82"/>
      <c r="J360" s="102"/>
      <c r="K360" s="103"/>
      <c r="L360" s="102"/>
      <c r="M360" s="103"/>
      <c r="N360" s="102"/>
      <c r="O360" s="103"/>
    </row>
    <row r="361" spans="1:15" ht="14.25" customHeight="1">
      <c r="A361" s="46">
        <v>81084</v>
      </c>
      <c r="B361" s="47"/>
      <c r="C361" s="48" t="s">
        <v>363</v>
      </c>
      <c r="D361" s="49"/>
      <c r="E361" s="50"/>
      <c r="F361" s="51" t="s">
        <v>23</v>
      </c>
      <c r="G361" s="52"/>
      <c r="H361" s="44">
        <v>8800</v>
      </c>
      <c r="I361" s="45"/>
      <c r="J361" s="44">
        <v>5000</v>
      </c>
      <c r="K361" s="45"/>
      <c r="L361" s="44">
        <v>5000</v>
      </c>
      <c r="M361" s="45"/>
      <c r="N361" s="44">
        <v>5000</v>
      </c>
      <c r="O361" s="45"/>
    </row>
    <row r="362" spans="1:15" ht="14.25" customHeight="1">
      <c r="A362" s="46">
        <v>91062</v>
      </c>
      <c r="B362" s="47"/>
      <c r="C362" s="48" t="s">
        <v>364</v>
      </c>
      <c r="D362" s="49"/>
      <c r="E362" s="50"/>
      <c r="F362" s="51" t="s">
        <v>28</v>
      </c>
      <c r="G362" s="52"/>
      <c r="H362" s="44">
        <v>5000</v>
      </c>
      <c r="I362" s="45"/>
      <c r="J362" s="44">
        <v>5000</v>
      </c>
      <c r="K362" s="45"/>
      <c r="L362" s="44">
        <v>5000</v>
      </c>
      <c r="M362" s="45"/>
      <c r="N362" s="44">
        <v>5000</v>
      </c>
      <c r="O362" s="45"/>
    </row>
    <row r="363" spans="1:15" ht="28.5" customHeight="1">
      <c r="A363" s="46">
        <v>81085</v>
      </c>
      <c r="B363" s="47"/>
      <c r="C363" s="53" t="s">
        <v>365</v>
      </c>
      <c r="D363" s="54"/>
      <c r="E363" s="55"/>
      <c r="F363" s="51" t="s">
        <v>23</v>
      </c>
      <c r="G363" s="52"/>
      <c r="H363" s="44">
        <v>6808</v>
      </c>
      <c r="I363" s="45"/>
      <c r="J363" s="44">
        <v>5000</v>
      </c>
      <c r="K363" s="45"/>
      <c r="L363" s="44">
        <v>5000</v>
      </c>
      <c r="M363" s="45"/>
      <c r="N363" s="44">
        <v>5000</v>
      </c>
      <c r="O363" s="45"/>
    </row>
    <row r="364" spans="1:15" ht="28.5" customHeight="1">
      <c r="A364" s="46">
        <v>41022</v>
      </c>
      <c r="B364" s="47"/>
      <c r="C364" s="53" t="s">
        <v>366</v>
      </c>
      <c r="D364" s="54"/>
      <c r="E364" s="55"/>
      <c r="F364" s="51" t="s">
        <v>11</v>
      </c>
      <c r="G364" s="52"/>
      <c r="H364" s="44">
        <v>12392</v>
      </c>
      <c r="I364" s="45"/>
      <c r="J364" s="44">
        <v>5500</v>
      </c>
      <c r="K364" s="45"/>
      <c r="L364" s="44">
        <v>6400</v>
      </c>
      <c r="M364" s="45"/>
      <c r="N364" s="44">
        <v>5000</v>
      </c>
      <c r="O364" s="45"/>
    </row>
    <row r="365" spans="1:15" ht="14.25" customHeight="1">
      <c r="A365" s="46">
        <v>21148</v>
      </c>
      <c r="B365" s="47"/>
      <c r="C365" s="48" t="s">
        <v>367</v>
      </c>
      <c r="D365" s="49"/>
      <c r="E365" s="50"/>
      <c r="F365" s="51" t="s">
        <v>20</v>
      </c>
      <c r="G365" s="52"/>
      <c r="H365" s="44">
        <v>5000</v>
      </c>
      <c r="I365" s="45"/>
      <c r="J365" s="44">
        <v>5188</v>
      </c>
      <c r="K365" s="45"/>
      <c r="L365" s="44">
        <v>5000</v>
      </c>
      <c r="M365" s="45"/>
      <c r="N365" s="44">
        <v>5000</v>
      </c>
      <c r="O365" s="45"/>
    </row>
    <row r="366" spans="1:15" ht="29" customHeight="1">
      <c r="A366" s="88" t="s">
        <v>3</v>
      </c>
      <c r="B366" s="88"/>
      <c r="C366" s="89" t="s">
        <v>4</v>
      </c>
      <c r="D366" s="89"/>
      <c r="E366" s="89"/>
      <c r="F366" s="88" t="s">
        <v>5</v>
      </c>
      <c r="G366" s="88"/>
      <c r="H366" s="90" t="s">
        <v>6</v>
      </c>
      <c r="I366" s="90"/>
      <c r="J366" s="88" t="s">
        <v>7</v>
      </c>
      <c r="K366" s="88"/>
      <c r="L366" s="88" t="s">
        <v>8</v>
      </c>
      <c r="M366" s="88"/>
      <c r="N366" s="88" t="s">
        <v>9</v>
      </c>
      <c r="O366" s="88"/>
    </row>
    <row r="367" spans="1:15" ht="14.25" customHeight="1">
      <c r="A367" s="46">
        <v>11023</v>
      </c>
      <c r="B367" s="47"/>
      <c r="C367" s="48" t="s">
        <v>368</v>
      </c>
      <c r="D367" s="49"/>
      <c r="E367" s="50"/>
      <c r="F367" s="51" t="s">
        <v>16</v>
      </c>
      <c r="G367" s="52"/>
      <c r="H367" s="44">
        <v>5000</v>
      </c>
      <c r="I367" s="45"/>
      <c r="J367" s="44">
        <v>5000</v>
      </c>
      <c r="K367" s="45"/>
      <c r="L367" s="44">
        <v>5000</v>
      </c>
      <c r="M367" s="45"/>
      <c r="N367" s="44">
        <v>8167</v>
      </c>
      <c r="O367" s="45"/>
    </row>
    <row r="368" spans="1:15" ht="14.25" customHeight="1">
      <c r="A368" s="46">
        <v>11024</v>
      </c>
      <c r="B368" s="47"/>
      <c r="C368" s="48" t="s">
        <v>369</v>
      </c>
      <c r="D368" s="49"/>
      <c r="E368" s="50"/>
      <c r="F368" s="51" t="s">
        <v>16</v>
      </c>
      <c r="G368" s="52"/>
      <c r="H368" s="44">
        <v>11202</v>
      </c>
      <c r="I368" s="45"/>
      <c r="J368" s="44">
        <v>5000</v>
      </c>
      <c r="K368" s="45"/>
      <c r="L368" s="44">
        <v>7200</v>
      </c>
      <c r="M368" s="45"/>
      <c r="N368" s="44">
        <v>5000</v>
      </c>
      <c r="O368" s="45"/>
    </row>
    <row r="369" spans="1:15" ht="28.5" customHeight="1">
      <c r="A369" s="46">
        <v>11075</v>
      </c>
      <c r="B369" s="47"/>
      <c r="C369" s="53" t="s">
        <v>370</v>
      </c>
      <c r="D369" s="54"/>
      <c r="E369" s="55"/>
      <c r="F369" s="51" t="s">
        <v>16</v>
      </c>
      <c r="G369" s="52"/>
      <c r="H369" s="44">
        <v>11934</v>
      </c>
      <c r="I369" s="45"/>
      <c r="J369" s="44">
        <v>6000</v>
      </c>
      <c r="K369" s="45"/>
      <c r="L369" s="44">
        <v>7410</v>
      </c>
      <c r="M369" s="45"/>
      <c r="N369" s="44">
        <v>5000</v>
      </c>
      <c r="O369" s="45"/>
    </row>
    <row r="370" spans="1:15" ht="14.25" customHeight="1">
      <c r="A370" s="46">
        <v>11025</v>
      </c>
      <c r="B370" s="47"/>
      <c r="C370" s="48" t="s">
        <v>371</v>
      </c>
      <c r="D370" s="49"/>
      <c r="E370" s="50"/>
      <c r="F370" s="51" t="s">
        <v>16</v>
      </c>
      <c r="G370" s="52"/>
      <c r="H370" s="44">
        <v>6160</v>
      </c>
      <c r="I370" s="45"/>
      <c r="J370" s="44">
        <v>5000</v>
      </c>
      <c r="K370" s="45"/>
      <c r="L370" s="44">
        <v>7100</v>
      </c>
      <c r="M370" s="45"/>
      <c r="N370" s="44">
        <v>5667</v>
      </c>
      <c r="O370" s="45"/>
    </row>
    <row r="371" spans="1:15" ht="14.25" customHeight="1">
      <c r="A371" s="46">
        <v>81070</v>
      </c>
      <c r="B371" s="47"/>
      <c r="C371" s="48" t="s">
        <v>372</v>
      </c>
      <c r="D371" s="49"/>
      <c r="E371" s="50"/>
      <c r="F371" s="51" t="s">
        <v>23</v>
      </c>
      <c r="G371" s="52"/>
      <c r="H371" s="44">
        <v>5000</v>
      </c>
      <c r="I371" s="45"/>
      <c r="J371" s="44">
        <v>5000</v>
      </c>
      <c r="K371" s="45"/>
      <c r="L371" s="44">
        <v>5000</v>
      </c>
      <c r="M371" s="45"/>
      <c r="N371" s="44">
        <v>7333</v>
      </c>
      <c r="O371" s="45"/>
    </row>
    <row r="372" spans="1:15" ht="14.25" customHeight="1">
      <c r="A372" s="46">
        <v>21134</v>
      </c>
      <c r="B372" s="47"/>
      <c r="C372" s="48" t="s">
        <v>373</v>
      </c>
      <c r="D372" s="49"/>
      <c r="E372" s="50"/>
      <c r="F372" s="51" t="s">
        <v>20</v>
      </c>
      <c r="G372" s="52"/>
      <c r="H372" s="44">
        <v>5000</v>
      </c>
      <c r="I372" s="45"/>
      <c r="J372" s="44">
        <v>5000</v>
      </c>
      <c r="K372" s="45"/>
      <c r="L372" s="44">
        <v>5000</v>
      </c>
      <c r="M372" s="45"/>
      <c r="N372" s="44">
        <v>5000</v>
      </c>
      <c r="O372" s="45"/>
    </row>
    <row r="373" spans="1:15" ht="14.25" customHeight="1">
      <c r="A373" s="46">
        <v>61055</v>
      </c>
      <c r="B373" s="47"/>
      <c r="C373" s="48" t="s">
        <v>374</v>
      </c>
      <c r="D373" s="49"/>
      <c r="E373" s="50"/>
      <c r="F373" s="51" t="s">
        <v>25</v>
      </c>
      <c r="G373" s="52"/>
      <c r="H373" s="44">
        <v>5000</v>
      </c>
      <c r="I373" s="45"/>
      <c r="J373" s="44">
        <v>5000</v>
      </c>
      <c r="K373" s="45"/>
      <c r="L373" s="44">
        <v>5000</v>
      </c>
      <c r="M373" s="45"/>
      <c r="N373" s="44">
        <v>5000</v>
      </c>
      <c r="O373" s="45"/>
    </row>
    <row r="374" spans="1:15" ht="28.5" customHeight="1">
      <c r="A374" s="46">
        <v>61058</v>
      </c>
      <c r="B374" s="47"/>
      <c r="C374" s="53" t="s">
        <v>375</v>
      </c>
      <c r="D374" s="54"/>
      <c r="E374" s="55"/>
      <c r="F374" s="51" t="s">
        <v>25</v>
      </c>
      <c r="G374" s="52"/>
      <c r="H374" s="44">
        <v>5000</v>
      </c>
      <c r="I374" s="45"/>
      <c r="J374" s="44">
        <v>5000</v>
      </c>
      <c r="K374" s="45"/>
      <c r="L374" s="44">
        <v>5000</v>
      </c>
      <c r="M374" s="45"/>
      <c r="N374" s="44">
        <v>5000</v>
      </c>
      <c r="O374" s="45"/>
    </row>
    <row r="375" spans="1:15" ht="14.25" customHeight="1">
      <c r="A375" s="46">
        <v>81080</v>
      </c>
      <c r="B375" s="47"/>
      <c r="C375" s="48" t="s">
        <v>376</v>
      </c>
      <c r="D375" s="49"/>
      <c r="E375" s="50"/>
      <c r="F375" s="51" t="s">
        <v>23</v>
      </c>
      <c r="G375" s="52"/>
      <c r="H375" s="44">
        <v>6378</v>
      </c>
      <c r="I375" s="45"/>
      <c r="J375" s="44">
        <v>5000</v>
      </c>
      <c r="K375" s="45"/>
      <c r="L375" s="44">
        <v>5000</v>
      </c>
      <c r="M375" s="45"/>
      <c r="N375" s="44">
        <v>5000</v>
      </c>
      <c r="O375" s="45"/>
    </row>
    <row r="376" spans="1:15" ht="14.25" customHeight="1">
      <c r="A376" s="46">
        <v>11026</v>
      </c>
      <c r="B376" s="47"/>
      <c r="C376" s="48" t="s">
        <v>377</v>
      </c>
      <c r="D376" s="49"/>
      <c r="E376" s="50"/>
      <c r="F376" s="51" t="s">
        <v>16</v>
      </c>
      <c r="G376" s="52"/>
      <c r="H376" s="44">
        <v>5000</v>
      </c>
      <c r="I376" s="45"/>
      <c r="J376" s="44">
        <v>5000</v>
      </c>
      <c r="K376" s="45"/>
      <c r="L376" s="44">
        <v>5000</v>
      </c>
      <c r="M376" s="45"/>
      <c r="N376" s="44">
        <v>8167</v>
      </c>
      <c r="O376" s="45"/>
    </row>
    <row r="377" spans="1:15" ht="14.25" customHeight="1">
      <c r="A377" s="46">
        <v>11027</v>
      </c>
      <c r="B377" s="47"/>
      <c r="C377" s="48" t="s">
        <v>378</v>
      </c>
      <c r="D377" s="49"/>
      <c r="E377" s="50"/>
      <c r="F377" s="51" t="s">
        <v>16</v>
      </c>
      <c r="G377" s="52"/>
      <c r="H377" s="44">
        <v>5000</v>
      </c>
      <c r="I377" s="45"/>
      <c r="J377" s="44">
        <v>5000</v>
      </c>
      <c r="K377" s="45"/>
      <c r="L377" s="44">
        <v>5000</v>
      </c>
      <c r="M377" s="45"/>
      <c r="N377" s="44">
        <v>5000</v>
      </c>
      <c r="O377" s="45"/>
    </row>
    <row r="378" spans="1:15" ht="14.25" customHeight="1">
      <c r="A378" s="46">
        <v>81071</v>
      </c>
      <c r="B378" s="47"/>
      <c r="C378" s="48" t="s">
        <v>379</v>
      </c>
      <c r="D378" s="49"/>
      <c r="E378" s="50"/>
      <c r="F378" s="51" t="s">
        <v>23</v>
      </c>
      <c r="G378" s="52"/>
      <c r="H378" s="44">
        <v>5000</v>
      </c>
      <c r="I378" s="45"/>
      <c r="J378" s="44">
        <v>5000</v>
      </c>
      <c r="K378" s="45"/>
      <c r="L378" s="44">
        <v>5000</v>
      </c>
      <c r="M378" s="45"/>
      <c r="N378" s="44">
        <v>5000</v>
      </c>
      <c r="O378" s="45"/>
    </row>
    <row r="379" spans="1:15" ht="14.25" customHeight="1">
      <c r="A379" s="46">
        <v>61079</v>
      </c>
      <c r="B379" s="47"/>
      <c r="C379" s="48" t="s">
        <v>380</v>
      </c>
      <c r="D379" s="49"/>
      <c r="E379" s="50"/>
      <c r="F379" s="51" t="s">
        <v>25</v>
      </c>
      <c r="G379" s="52"/>
      <c r="H379" s="44">
        <v>5000</v>
      </c>
      <c r="I379" s="45"/>
      <c r="J379" s="44">
        <v>5000</v>
      </c>
      <c r="K379" s="45"/>
      <c r="L379" s="44">
        <v>5000</v>
      </c>
      <c r="M379" s="45"/>
      <c r="N379" s="44">
        <v>5000</v>
      </c>
      <c r="O379" s="45"/>
    </row>
    <row r="380" spans="1:15" ht="14.25" customHeight="1">
      <c r="A380" s="46">
        <v>61080</v>
      </c>
      <c r="B380" s="47"/>
      <c r="C380" s="48" t="s">
        <v>381</v>
      </c>
      <c r="D380" s="49"/>
      <c r="E380" s="50"/>
      <c r="F380" s="51" t="s">
        <v>25</v>
      </c>
      <c r="G380" s="52"/>
      <c r="H380" s="44">
        <v>5000</v>
      </c>
      <c r="I380" s="45"/>
      <c r="J380" s="44">
        <v>6125</v>
      </c>
      <c r="K380" s="45"/>
      <c r="L380" s="44">
        <v>5000</v>
      </c>
      <c r="M380" s="45"/>
      <c r="N380" s="44">
        <v>5000</v>
      </c>
      <c r="O380" s="45"/>
    </row>
    <row r="381" spans="1:15" ht="14.25" customHeight="1">
      <c r="A381" s="46">
        <v>11061</v>
      </c>
      <c r="B381" s="47"/>
      <c r="C381" s="48" t="s">
        <v>382</v>
      </c>
      <c r="D381" s="49"/>
      <c r="E381" s="50"/>
      <c r="F381" s="51" t="s">
        <v>16</v>
      </c>
      <c r="G381" s="52"/>
      <c r="H381" s="44">
        <v>5894</v>
      </c>
      <c r="I381" s="45"/>
      <c r="J381" s="44">
        <v>5000</v>
      </c>
      <c r="K381" s="45"/>
      <c r="L381" s="44">
        <v>7860</v>
      </c>
      <c r="M381" s="45"/>
      <c r="N381" s="44">
        <v>7333</v>
      </c>
      <c r="O381" s="45"/>
    </row>
    <row r="382" spans="1:15" ht="14.25" customHeight="1">
      <c r="A382" s="46">
        <v>21032</v>
      </c>
      <c r="B382" s="47"/>
      <c r="C382" s="48" t="s">
        <v>383</v>
      </c>
      <c r="D382" s="49"/>
      <c r="E382" s="50"/>
      <c r="F382" s="51" t="s">
        <v>20</v>
      </c>
      <c r="G382" s="52"/>
      <c r="H382" s="44">
        <v>5000</v>
      </c>
      <c r="I382" s="45"/>
      <c r="J382" s="44">
        <v>5000</v>
      </c>
      <c r="K382" s="45"/>
      <c r="L382" s="44">
        <v>5000</v>
      </c>
      <c r="M382" s="45"/>
      <c r="N382" s="44">
        <v>6500</v>
      </c>
      <c r="O382" s="45"/>
    </row>
    <row r="383" spans="1:15" ht="14.25" customHeight="1">
      <c r="A383" s="46">
        <v>81072</v>
      </c>
      <c r="B383" s="47"/>
      <c r="C383" s="48" t="s">
        <v>384</v>
      </c>
      <c r="D383" s="49"/>
      <c r="E383" s="50"/>
      <c r="F383" s="51" t="s">
        <v>23</v>
      </c>
      <c r="G383" s="52"/>
      <c r="H383" s="44">
        <v>5000</v>
      </c>
      <c r="I383" s="45"/>
      <c r="J383" s="44">
        <v>5000</v>
      </c>
      <c r="K383" s="45"/>
      <c r="L383" s="44">
        <v>5000</v>
      </c>
      <c r="M383" s="45"/>
      <c r="N383" s="44">
        <v>7667</v>
      </c>
      <c r="O383" s="45"/>
    </row>
    <row r="384" spans="1:15" ht="14.25" customHeight="1">
      <c r="A384" s="46">
        <v>41042</v>
      </c>
      <c r="B384" s="47"/>
      <c r="C384" s="48" t="s">
        <v>385</v>
      </c>
      <c r="D384" s="49"/>
      <c r="E384" s="50"/>
      <c r="F384" s="51" t="s">
        <v>386</v>
      </c>
      <c r="G384" s="52"/>
      <c r="H384" s="44">
        <v>12046</v>
      </c>
      <c r="I384" s="45"/>
      <c r="J384" s="44">
        <v>5000</v>
      </c>
      <c r="K384" s="45"/>
      <c r="L384" s="44">
        <v>6625</v>
      </c>
      <c r="M384" s="45"/>
      <c r="N384" s="44">
        <v>5000</v>
      </c>
      <c r="O384" s="45"/>
    </row>
    <row r="385" spans="1:15" ht="14.25" customHeight="1">
      <c r="A385" s="46">
        <v>71014</v>
      </c>
      <c r="B385" s="47"/>
      <c r="C385" s="48" t="s">
        <v>387</v>
      </c>
      <c r="D385" s="49"/>
      <c r="E385" s="50"/>
      <c r="F385" s="51" t="s">
        <v>18</v>
      </c>
      <c r="G385" s="52"/>
      <c r="H385" s="44">
        <v>6914</v>
      </c>
      <c r="I385" s="45"/>
      <c r="J385" s="44">
        <v>5000</v>
      </c>
      <c r="K385" s="45"/>
      <c r="L385" s="44">
        <v>5000</v>
      </c>
      <c r="M385" s="45"/>
      <c r="N385" s="44">
        <v>5000</v>
      </c>
      <c r="O385" s="45"/>
    </row>
    <row r="386" spans="1:15" ht="14.25" customHeight="1">
      <c r="A386" s="46">
        <v>11030</v>
      </c>
      <c r="B386" s="47"/>
      <c r="C386" s="48" t="s">
        <v>388</v>
      </c>
      <c r="D386" s="49"/>
      <c r="E386" s="50"/>
      <c r="F386" s="51" t="s">
        <v>16</v>
      </c>
      <c r="G386" s="52"/>
      <c r="H386" s="44">
        <v>11809</v>
      </c>
      <c r="I386" s="45"/>
      <c r="J386" s="44">
        <v>5000</v>
      </c>
      <c r="K386" s="45"/>
      <c r="L386" s="44">
        <v>6740</v>
      </c>
      <c r="M386" s="45"/>
      <c r="N386" s="44">
        <v>5000</v>
      </c>
      <c r="O386" s="45"/>
    </row>
    <row r="387" spans="1:15" ht="14.25" customHeight="1">
      <c r="A387" s="46">
        <v>21168</v>
      </c>
      <c r="B387" s="47"/>
      <c r="C387" s="48" t="s">
        <v>389</v>
      </c>
      <c r="D387" s="49"/>
      <c r="E387" s="50"/>
      <c r="F387" s="51" t="s">
        <v>20</v>
      </c>
      <c r="G387" s="52"/>
      <c r="H387" s="44">
        <v>12067</v>
      </c>
      <c r="I387" s="45"/>
      <c r="J387" s="44">
        <v>5000</v>
      </c>
      <c r="K387" s="45"/>
      <c r="L387" s="44">
        <v>8110</v>
      </c>
      <c r="M387" s="45"/>
      <c r="N387" s="44">
        <v>5000</v>
      </c>
      <c r="O387" s="45"/>
    </row>
    <row r="388" spans="1:15" ht="14.25" customHeight="1">
      <c r="A388" s="46">
        <v>11020</v>
      </c>
      <c r="B388" s="47"/>
      <c r="C388" s="48" t="s">
        <v>390</v>
      </c>
      <c r="D388" s="49"/>
      <c r="E388" s="50"/>
      <c r="F388" s="51" t="s">
        <v>16</v>
      </c>
      <c r="G388" s="52"/>
      <c r="H388" s="44">
        <v>13170</v>
      </c>
      <c r="I388" s="45"/>
      <c r="J388" s="44">
        <v>6375</v>
      </c>
      <c r="K388" s="45"/>
      <c r="L388" s="44">
        <v>8290</v>
      </c>
      <c r="M388" s="45"/>
      <c r="N388" s="44">
        <v>5000</v>
      </c>
      <c r="O388" s="45"/>
    </row>
    <row r="389" spans="1:15" ht="14.25" customHeight="1">
      <c r="A389" s="46">
        <v>21169</v>
      </c>
      <c r="B389" s="47"/>
      <c r="C389" s="48" t="s">
        <v>391</v>
      </c>
      <c r="D389" s="49"/>
      <c r="E389" s="50"/>
      <c r="F389" s="51" t="s">
        <v>20</v>
      </c>
      <c r="G389" s="52"/>
      <c r="H389" s="44">
        <v>13370</v>
      </c>
      <c r="I389" s="45"/>
      <c r="J389" s="44">
        <v>5000</v>
      </c>
      <c r="K389" s="45"/>
      <c r="L389" s="44">
        <v>7200</v>
      </c>
      <c r="M389" s="45"/>
      <c r="N389" s="44">
        <v>5000</v>
      </c>
      <c r="O389" s="45"/>
    </row>
    <row r="390" spans="1:15" ht="14.25" customHeight="1">
      <c r="A390" s="46">
        <v>21170</v>
      </c>
      <c r="B390" s="47"/>
      <c r="C390" s="48" t="s">
        <v>392</v>
      </c>
      <c r="D390" s="49"/>
      <c r="E390" s="50"/>
      <c r="F390" s="51" t="s">
        <v>20</v>
      </c>
      <c r="G390" s="52"/>
      <c r="H390" s="44">
        <v>12348</v>
      </c>
      <c r="I390" s="45"/>
      <c r="J390" s="44">
        <v>5000</v>
      </c>
      <c r="K390" s="45"/>
      <c r="L390" s="44">
        <v>6950</v>
      </c>
      <c r="M390" s="45"/>
      <c r="N390" s="44">
        <v>5000</v>
      </c>
      <c r="O390" s="45"/>
    </row>
    <row r="391" spans="1:15" ht="14.25" customHeight="1">
      <c r="A391" s="46">
        <v>21095</v>
      </c>
      <c r="B391" s="47"/>
      <c r="C391" s="48" t="s">
        <v>393</v>
      </c>
      <c r="D391" s="49"/>
      <c r="E391" s="50"/>
      <c r="F391" s="51" t="s">
        <v>20</v>
      </c>
      <c r="G391" s="52"/>
      <c r="H391" s="44">
        <v>11100</v>
      </c>
      <c r="I391" s="45"/>
      <c r="J391" s="44">
        <v>6875</v>
      </c>
      <c r="K391" s="45"/>
      <c r="L391" s="44">
        <v>8170</v>
      </c>
      <c r="M391" s="45"/>
      <c r="N391" s="44">
        <v>5167</v>
      </c>
      <c r="O391" s="45"/>
    </row>
    <row r="392" spans="1:15" ht="14.25" customHeight="1">
      <c r="A392" s="46">
        <v>61019</v>
      </c>
      <c r="B392" s="47"/>
      <c r="C392" s="48" t="s">
        <v>394</v>
      </c>
      <c r="D392" s="49"/>
      <c r="E392" s="50"/>
      <c r="F392" s="51" t="s">
        <v>25</v>
      </c>
      <c r="G392" s="52"/>
      <c r="H392" s="44">
        <v>10860</v>
      </c>
      <c r="I392" s="45"/>
      <c r="J392" s="44">
        <v>7313</v>
      </c>
      <c r="K392" s="45"/>
      <c r="L392" s="44">
        <v>9590</v>
      </c>
      <c r="M392" s="45"/>
      <c r="N392" s="44">
        <v>5000</v>
      </c>
      <c r="O392" s="45"/>
    </row>
    <row r="393" spans="1:15" ht="14.25" customHeight="1">
      <c r="A393" s="46">
        <v>41055</v>
      </c>
      <c r="B393" s="47"/>
      <c r="C393" s="48" t="s">
        <v>395</v>
      </c>
      <c r="D393" s="49"/>
      <c r="E393" s="50"/>
      <c r="F393" s="51" t="s">
        <v>11</v>
      </c>
      <c r="G393" s="52"/>
      <c r="H393" s="44">
        <v>8887</v>
      </c>
      <c r="I393" s="45"/>
      <c r="J393" s="44">
        <v>5000</v>
      </c>
      <c r="K393" s="45"/>
      <c r="L393" s="44">
        <v>7210</v>
      </c>
      <c r="M393" s="45"/>
      <c r="N393" s="44">
        <v>5833</v>
      </c>
      <c r="O393" s="45"/>
    </row>
    <row r="394" spans="1:15" ht="14.25" customHeight="1">
      <c r="A394" s="46">
        <v>91041</v>
      </c>
      <c r="B394" s="47"/>
      <c r="C394" s="48" t="s">
        <v>396</v>
      </c>
      <c r="D394" s="49"/>
      <c r="E394" s="50"/>
      <c r="F394" s="51" t="s">
        <v>28</v>
      </c>
      <c r="G394" s="52"/>
      <c r="H394" s="44">
        <v>7347</v>
      </c>
      <c r="I394" s="45"/>
      <c r="J394" s="44">
        <v>5000</v>
      </c>
      <c r="K394" s="45"/>
      <c r="L394" s="44">
        <v>5000</v>
      </c>
      <c r="M394" s="45"/>
      <c r="N394" s="44">
        <v>5000</v>
      </c>
      <c r="O394" s="45"/>
    </row>
    <row r="395" spans="1:15" ht="14.25" customHeight="1">
      <c r="A395" s="46">
        <v>71043</v>
      </c>
      <c r="B395" s="47"/>
      <c r="C395" s="48" t="s">
        <v>397</v>
      </c>
      <c r="D395" s="49"/>
      <c r="E395" s="50"/>
      <c r="F395" s="51" t="s">
        <v>18</v>
      </c>
      <c r="G395" s="52"/>
      <c r="H395" s="44">
        <v>10170</v>
      </c>
      <c r="I395" s="45"/>
      <c r="J395" s="44">
        <v>5500</v>
      </c>
      <c r="K395" s="45"/>
      <c r="L395" s="44">
        <v>8030</v>
      </c>
      <c r="M395" s="45"/>
      <c r="N395" s="44">
        <v>6000</v>
      </c>
      <c r="O395" s="45"/>
    </row>
    <row r="396" spans="1:15" ht="28.5" customHeight="1">
      <c r="A396" s="46">
        <v>91918</v>
      </c>
      <c r="B396" s="47"/>
      <c r="C396" s="53" t="s">
        <v>398</v>
      </c>
      <c r="D396" s="54"/>
      <c r="E396" s="55"/>
      <c r="F396" s="51" t="s">
        <v>399</v>
      </c>
      <c r="G396" s="52"/>
      <c r="H396" s="44">
        <v>7534</v>
      </c>
      <c r="I396" s="45"/>
      <c r="J396" s="44">
        <v>5000</v>
      </c>
      <c r="K396" s="45"/>
      <c r="L396" s="44">
        <v>6870</v>
      </c>
      <c r="M396" s="45"/>
      <c r="N396" s="44">
        <v>5000</v>
      </c>
      <c r="O396" s="45"/>
    </row>
    <row r="397" spans="1:15" ht="28.5" customHeight="1">
      <c r="A397" s="46">
        <v>91919</v>
      </c>
      <c r="B397" s="47"/>
      <c r="C397" s="53" t="s">
        <v>400</v>
      </c>
      <c r="D397" s="54"/>
      <c r="E397" s="55"/>
      <c r="F397" s="51" t="s">
        <v>399</v>
      </c>
      <c r="G397" s="52"/>
      <c r="H397" s="44">
        <v>7124</v>
      </c>
      <c r="I397" s="45"/>
      <c r="J397" s="44">
        <v>5000</v>
      </c>
      <c r="K397" s="45"/>
      <c r="L397" s="44">
        <v>5000</v>
      </c>
      <c r="M397" s="45"/>
      <c r="N397" s="44">
        <v>5000</v>
      </c>
      <c r="O397" s="45"/>
    </row>
    <row r="398" spans="1:15" ht="14.25" customHeight="1">
      <c r="A398" s="46">
        <v>81087</v>
      </c>
      <c r="B398" s="47"/>
      <c r="C398" s="48" t="s">
        <v>401</v>
      </c>
      <c r="D398" s="49"/>
      <c r="E398" s="50"/>
      <c r="F398" s="51" t="s">
        <v>23</v>
      </c>
      <c r="G398" s="52"/>
      <c r="H398" s="44">
        <v>7319</v>
      </c>
      <c r="I398" s="45"/>
      <c r="J398" s="44">
        <v>5000</v>
      </c>
      <c r="K398" s="45"/>
      <c r="L398" s="44">
        <v>5000</v>
      </c>
      <c r="M398" s="45"/>
      <c r="N398" s="44">
        <v>5000</v>
      </c>
      <c r="O398" s="45"/>
    </row>
    <row r="399" spans="1:15" ht="14.25" customHeight="1">
      <c r="A399" s="46">
        <v>21033</v>
      </c>
      <c r="B399" s="47"/>
      <c r="C399" s="48" t="s">
        <v>402</v>
      </c>
      <c r="D399" s="49"/>
      <c r="E399" s="50"/>
      <c r="F399" s="51" t="s">
        <v>20</v>
      </c>
      <c r="G399" s="52"/>
      <c r="H399" s="44">
        <v>6558</v>
      </c>
      <c r="I399" s="45"/>
      <c r="J399" s="44">
        <v>5000</v>
      </c>
      <c r="K399" s="45"/>
      <c r="L399" s="44">
        <v>5000</v>
      </c>
      <c r="M399" s="45"/>
      <c r="N399" s="44">
        <v>5000</v>
      </c>
      <c r="O399" s="45"/>
    </row>
    <row r="400" spans="1:15" ht="14.25" customHeight="1">
      <c r="A400" s="46">
        <v>71048</v>
      </c>
      <c r="B400" s="47"/>
      <c r="C400" s="48" t="s">
        <v>403</v>
      </c>
      <c r="D400" s="49"/>
      <c r="E400" s="50"/>
      <c r="F400" s="51" t="s">
        <v>18</v>
      </c>
      <c r="G400" s="52"/>
      <c r="H400" s="44">
        <v>6893</v>
      </c>
      <c r="I400" s="45"/>
      <c r="J400" s="44">
        <v>5000</v>
      </c>
      <c r="K400" s="45"/>
      <c r="L400" s="44">
        <v>5000</v>
      </c>
      <c r="M400" s="45"/>
      <c r="N400" s="44">
        <v>5000</v>
      </c>
      <c r="O400" s="45"/>
    </row>
    <row r="401" spans="1:15" ht="14.25" customHeight="1">
      <c r="A401" s="46">
        <v>91012</v>
      </c>
      <c r="B401" s="47"/>
      <c r="C401" s="48" t="s">
        <v>404</v>
      </c>
      <c r="D401" s="49"/>
      <c r="E401" s="50"/>
      <c r="F401" s="51" t="s">
        <v>28</v>
      </c>
      <c r="G401" s="52"/>
      <c r="H401" s="44">
        <v>7205</v>
      </c>
      <c r="I401" s="45"/>
      <c r="J401" s="44">
        <v>5000</v>
      </c>
      <c r="K401" s="45"/>
      <c r="L401" s="44">
        <v>5000</v>
      </c>
      <c r="M401" s="45"/>
      <c r="N401" s="44">
        <v>5000</v>
      </c>
      <c r="O401" s="45"/>
    </row>
    <row r="402" spans="1:15" ht="14.25" customHeight="1">
      <c r="A402" s="46">
        <v>61044</v>
      </c>
      <c r="B402" s="47"/>
      <c r="C402" s="48" t="s">
        <v>405</v>
      </c>
      <c r="D402" s="49"/>
      <c r="E402" s="50"/>
      <c r="F402" s="51" t="s">
        <v>25</v>
      </c>
      <c r="G402" s="52"/>
      <c r="H402" s="44">
        <v>11569</v>
      </c>
      <c r="I402" s="45"/>
      <c r="J402" s="44">
        <v>5438</v>
      </c>
      <c r="K402" s="45"/>
      <c r="L402" s="44">
        <v>8050</v>
      </c>
      <c r="M402" s="45"/>
      <c r="N402" s="44">
        <v>5833</v>
      </c>
      <c r="O402" s="45"/>
    </row>
    <row r="403" spans="1:15" ht="14.25" customHeight="1">
      <c r="A403" s="46">
        <v>61057</v>
      </c>
      <c r="B403" s="47"/>
      <c r="C403" s="48" t="s">
        <v>406</v>
      </c>
      <c r="D403" s="49"/>
      <c r="E403" s="50"/>
      <c r="F403" s="51" t="s">
        <v>25</v>
      </c>
      <c r="G403" s="52"/>
      <c r="H403" s="44">
        <v>10655</v>
      </c>
      <c r="I403" s="45"/>
      <c r="J403" s="44">
        <v>5000</v>
      </c>
      <c r="K403" s="45"/>
      <c r="L403" s="44">
        <v>7666</v>
      </c>
      <c r="M403" s="45"/>
      <c r="N403" s="44">
        <v>5000</v>
      </c>
      <c r="O403" s="45"/>
    </row>
    <row r="404" spans="1:15" ht="14.25" customHeight="1">
      <c r="A404" s="46">
        <v>21035</v>
      </c>
      <c r="B404" s="47"/>
      <c r="C404" s="48" t="s">
        <v>407</v>
      </c>
      <c r="D404" s="49"/>
      <c r="E404" s="50"/>
      <c r="F404" s="51" t="s">
        <v>20</v>
      </c>
      <c r="G404" s="52"/>
      <c r="H404" s="44">
        <v>11306</v>
      </c>
      <c r="I404" s="45"/>
      <c r="J404" s="44">
        <v>5000</v>
      </c>
      <c r="K404" s="45"/>
      <c r="L404" s="44">
        <v>6830</v>
      </c>
      <c r="M404" s="45"/>
      <c r="N404" s="44">
        <v>5000</v>
      </c>
      <c r="O404" s="45"/>
    </row>
    <row r="405" spans="1:15" ht="14.25" customHeight="1">
      <c r="A405" s="46">
        <v>61026</v>
      </c>
      <c r="B405" s="47"/>
      <c r="C405" s="48" t="s">
        <v>408</v>
      </c>
      <c r="D405" s="49"/>
      <c r="E405" s="50"/>
      <c r="F405" s="51" t="s">
        <v>25</v>
      </c>
      <c r="G405" s="52"/>
      <c r="H405" s="44">
        <v>5000</v>
      </c>
      <c r="I405" s="45"/>
      <c r="J405" s="44">
        <v>5000</v>
      </c>
      <c r="K405" s="45"/>
      <c r="L405" s="44">
        <v>5000</v>
      </c>
      <c r="M405" s="45"/>
      <c r="N405" s="44">
        <v>5000</v>
      </c>
      <c r="O405" s="45"/>
    </row>
    <row r="406" spans="1:15" ht="14.25" customHeight="1">
      <c r="A406" s="46">
        <v>11108</v>
      </c>
      <c r="B406" s="47"/>
      <c r="C406" s="48" t="s">
        <v>409</v>
      </c>
      <c r="D406" s="49"/>
      <c r="E406" s="50"/>
      <c r="F406" s="51" t="s">
        <v>16</v>
      </c>
      <c r="G406" s="52"/>
      <c r="H406" s="44">
        <v>5480</v>
      </c>
      <c r="I406" s="45"/>
      <c r="J406" s="44">
        <v>5000</v>
      </c>
      <c r="K406" s="45"/>
      <c r="L406" s="44">
        <v>6380</v>
      </c>
      <c r="M406" s="45"/>
      <c r="N406" s="44">
        <v>5000</v>
      </c>
      <c r="O406" s="45"/>
    </row>
    <row r="407" spans="1:15" ht="14.25" customHeight="1">
      <c r="A407" s="46">
        <v>71015</v>
      </c>
      <c r="B407" s="47"/>
      <c r="C407" s="48" t="s">
        <v>410</v>
      </c>
      <c r="D407" s="49"/>
      <c r="E407" s="50"/>
      <c r="F407" s="51" t="s">
        <v>18</v>
      </c>
      <c r="G407" s="52"/>
      <c r="H407" s="44">
        <v>5000</v>
      </c>
      <c r="I407" s="45"/>
      <c r="J407" s="44">
        <v>5000</v>
      </c>
      <c r="K407" s="45"/>
      <c r="L407" s="44">
        <v>5000</v>
      </c>
      <c r="M407" s="45"/>
      <c r="N407" s="44">
        <v>5000</v>
      </c>
      <c r="O407" s="45"/>
    </row>
    <row r="408" spans="1:15" ht="14.25" customHeight="1">
      <c r="A408" s="46">
        <v>21124</v>
      </c>
      <c r="B408" s="47"/>
      <c r="C408" s="48" t="s">
        <v>411</v>
      </c>
      <c r="D408" s="49"/>
      <c r="E408" s="50"/>
      <c r="F408" s="51" t="s">
        <v>20</v>
      </c>
      <c r="G408" s="52"/>
      <c r="H408" s="44">
        <v>5000</v>
      </c>
      <c r="I408" s="45"/>
      <c r="J408" s="44">
        <v>5000</v>
      </c>
      <c r="K408" s="45"/>
      <c r="L408" s="44">
        <v>5000</v>
      </c>
      <c r="M408" s="45"/>
      <c r="N408" s="44">
        <v>5000</v>
      </c>
      <c r="O408" s="45"/>
    </row>
    <row r="409" spans="1:15" ht="14.25" customHeight="1">
      <c r="A409" s="46">
        <v>81073</v>
      </c>
      <c r="B409" s="47"/>
      <c r="C409" s="48" t="s">
        <v>412</v>
      </c>
      <c r="D409" s="49"/>
      <c r="E409" s="50"/>
      <c r="F409" s="51" t="s">
        <v>23</v>
      </c>
      <c r="G409" s="52"/>
      <c r="H409" s="44">
        <v>5000</v>
      </c>
      <c r="I409" s="45"/>
      <c r="J409" s="44">
        <v>5000</v>
      </c>
      <c r="K409" s="45"/>
      <c r="L409" s="44">
        <v>5000</v>
      </c>
      <c r="M409" s="45"/>
      <c r="N409" s="44">
        <v>5000</v>
      </c>
      <c r="O409" s="45"/>
    </row>
    <row r="410" spans="1:15" ht="14.25" customHeight="1">
      <c r="A410" s="46">
        <v>11032</v>
      </c>
      <c r="B410" s="47"/>
      <c r="C410" s="48" t="s">
        <v>413</v>
      </c>
      <c r="D410" s="49"/>
      <c r="E410" s="50"/>
      <c r="F410" s="51" t="s">
        <v>16</v>
      </c>
      <c r="G410" s="52"/>
      <c r="H410" s="44">
        <v>5578</v>
      </c>
      <c r="I410" s="45"/>
      <c r="J410" s="44">
        <v>5000</v>
      </c>
      <c r="K410" s="45"/>
      <c r="L410" s="44">
        <v>7020</v>
      </c>
      <c r="M410" s="45"/>
      <c r="N410" s="44">
        <v>8167</v>
      </c>
      <c r="O410" s="45"/>
    </row>
    <row r="411" spans="1:15" ht="14.25" customHeight="1">
      <c r="A411" s="46">
        <v>21037</v>
      </c>
      <c r="B411" s="47"/>
      <c r="C411" s="48" t="s">
        <v>414</v>
      </c>
      <c r="D411" s="49"/>
      <c r="E411" s="50"/>
      <c r="F411" s="51" t="s">
        <v>20</v>
      </c>
      <c r="G411" s="52"/>
      <c r="H411" s="44">
        <v>5498</v>
      </c>
      <c r="I411" s="45"/>
      <c r="J411" s="44">
        <v>5000</v>
      </c>
      <c r="K411" s="45"/>
      <c r="L411" s="44">
        <v>5000</v>
      </c>
      <c r="M411" s="45"/>
      <c r="N411" s="44">
        <v>5000</v>
      </c>
      <c r="O411" s="45"/>
    </row>
    <row r="412" spans="1:15" ht="14.25" customHeight="1">
      <c r="A412" s="46">
        <v>21038</v>
      </c>
      <c r="B412" s="47"/>
      <c r="C412" s="48" t="s">
        <v>415</v>
      </c>
      <c r="D412" s="49"/>
      <c r="E412" s="50"/>
      <c r="F412" s="51" t="s">
        <v>20</v>
      </c>
      <c r="G412" s="52"/>
      <c r="H412" s="44">
        <v>8994</v>
      </c>
      <c r="I412" s="45"/>
      <c r="J412" s="44">
        <v>5000</v>
      </c>
      <c r="K412" s="45"/>
      <c r="L412" s="44">
        <v>5000</v>
      </c>
      <c r="M412" s="45"/>
      <c r="N412" s="44">
        <v>5000</v>
      </c>
      <c r="O412" s="45"/>
    </row>
    <row r="413" spans="1:15" ht="14.25" customHeight="1">
      <c r="A413" s="46">
        <v>21149</v>
      </c>
      <c r="B413" s="47"/>
      <c r="C413" s="48" t="s">
        <v>416</v>
      </c>
      <c r="D413" s="49"/>
      <c r="E413" s="50"/>
      <c r="F413" s="51" t="s">
        <v>20</v>
      </c>
      <c r="G413" s="52"/>
      <c r="H413" s="44">
        <v>7466</v>
      </c>
      <c r="I413" s="45"/>
      <c r="J413" s="44">
        <v>5000</v>
      </c>
      <c r="K413" s="45"/>
      <c r="L413" s="44">
        <v>5000</v>
      </c>
      <c r="M413" s="45"/>
      <c r="N413" s="44">
        <v>5000</v>
      </c>
      <c r="O413" s="45"/>
    </row>
    <row r="414" spans="1:15" ht="14.25" customHeight="1">
      <c r="A414" s="46">
        <v>11091</v>
      </c>
      <c r="B414" s="47"/>
      <c r="C414" s="48" t="s">
        <v>417</v>
      </c>
      <c r="D414" s="49"/>
      <c r="E414" s="50"/>
      <c r="F414" s="51" t="s">
        <v>16</v>
      </c>
      <c r="G414" s="52"/>
      <c r="H414" s="44">
        <v>6764</v>
      </c>
      <c r="I414" s="45"/>
      <c r="J414" s="44">
        <v>5000</v>
      </c>
      <c r="K414" s="45"/>
      <c r="L414" s="44">
        <v>8000</v>
      </c>
      <c r="M414" s="45"/>
      <c r="N414" s="44">
        <v>5000</v>
      </c>
      <c r="O414" s="45"/>
    </row>
    <row r="415" spans="1:15" ht="14.25" customHeight="1">
      <c r="A415" s="46">
        <v>91060</v>
      </c>
      <c r="B415" s="47"/>
      <c r="C415" s="48" t="s">
        <v>418</v>
      </c>
      <c r="D415" s="49"/>
      <c r="E415" s="50"/>
      <c r="F415" s="51" t="s">
        <v>28</v>
      </c>
      <c r="G415" s="52"/>
      <c r="H415" s="44">
        <v>5000</v>
      </c>
      <c r="I415" s="45"/>
      <c r="J415" s="44">
        <v>5000</v>
      </c>
      <c r="K415" s="45"/>
      <c r="L415" s="44">
        <v>5000</v>
      </c>
      <c r="M415" s="45"/>
      <c r="N415" s="44">
        <v>5000</v>
      </c>
      <c r="O415" s="45"/>
    </row>
    <row r="416" spans="1:15" ht="14.25" customHeight="1">
      <c r="A416" s="46">
        <v>71068</v>
      </c>
      <c r="B416" s="47"/>
      <c r="C416" s="48" t="s">
        <v>419</v>
      </c>
      <c r="D416" s="49"/>
      <c r="E416" s="50"/>
      <c r="F416" s="51" t="s">
        <v>18</v>
      </c>
      <c r="G416" s="52"/>
      <c r="H416" s="44">
        <v>5000</v>
      </c>
      <c r="I416" s="45"/>
      <c r="J416" s="44">
        <v>5000</v>
      </c>
      <c r="K416" s="45"/>
      <c r="L416" s="44">
        <v>6330</v>
      </c>
      <c r="M416" s="45"/>
      <c r="N416" s="44">
        <v>6333</v>
      </c>
      <c r="O416" s="45"/>
    </row>
    <row r="417" spans="1:15" ht="14.25" customHeight="1">
      <c r="A417" s="46">
        <v>11052</v>
      </c>
      <c r="B417" s="47"/>
      <c r="C417" s="48" t="s">
        <v>420</v>
      </c>
      <c r="D417" s="49"/>
      <c r="E417" s="50"/>
      <c r="F417" s="51" t="s">
        <v>16</v>
      </c>
      <c r="G417" s="52"/>
      <c r="H417" s="44">
        <v>8026</v>
      </c>
      <c r="I417" s="45"/>
      <c r="J417" s="44">
        <v>5000</v>
      </c>
      <c r="K417" s="45"/>
      <c r="L417" s="44">
        <v>7140</v>
      </c>
      <c r="M417" s="45"/>
      <c r="N417" s="44">
        <v>5000</v>
      </c>
      <c r="O417" s="45"/>
    </row>
    <row r="418" spans="1:15" ht="14.25" customHeight="1">
      <c r="A418" s="46">
        <v>31135</v>
      </c>
      <c r="B418" s="47"/>
      <c r="C418" s="48" t="s">
        <v>421</v>
      </c>
      <c r="D418" s="49"/>
      <c r="E418" s="50"/>
      <c r="F418" s="51" t="s">
        <v>58</v>
      </c>
      <c r="G418" s="52"/>
      <c r="H418" s="44">
        <v>5000</v>
      </c>
      <c r="I418" s="45"/>
      <c r="J418" s="44">
        <v>5000</v>
      </c>
      <c r="K418" s="45"/>
      <c r="L418" s="44">
        <v>5000</v>
      </c>
      <c r="M418" s="45"/>
      <c r="N418" s="44">
        <v>5000</v>
      </c>
      <c r="O418" s="45"/>
    </row>
    <row r="419" spans="1:15" ht="28.5" customHeight="1">
      <c r="A419" s="46">
        <v>31137</v>
      </c>
      <c r="B419" s="47"/>
      <c r="C419" s="53" t="s">
        <v>422</v>
      </c>
      <c r="D419" s="54"/>
      <c r="E419" s="55"/>
      <c r="F419" s="51" t="s">
        <v>58</v>
      </c>
      <c r="G419" s="52"/>
      <c r="H419" s="44">
        <v>5000</v>
      </c>
      <c r="I419" s="45"/>
      <c r="J419" s="44">
        <v>5000</v>
      </c>
      <c r="K419" s="45"/>
      <c r="L419" s="44">
        <v>5000</v>
      </c>
      <c r="M419" s="45"/>
      <c r="N419" s="44">
        <v>5000</v>
      </c>
      <c r="O419" s="45"/>
    </row>
    <row r="420" spans="1:15" ht="14.25" customHeight="1">
      <c r="A420" s="46">
        <v>41050</v>
      </c>
      <c r="B420" s="47"/>
      <c r="C420" s="48" t="s">
        <v>423</v>
      </c>
      <c r="D420" s="49"/>
      <c r="E420" s="50"/>
      <c r="F420" s="51" t="s">
        <v>11</v>
      </c>
      <c r="G420" s="52"/>
      <c r="H420" s="44">
        <v>11030</v>
      </c>
      <c r="I420" s="45"/>
      <c r="J420" s="44">
        <v>5000</v>
      </c>
      <c r="K420" s="45"/>
      <c r="L420" s="44">
        <v>7560</v>
      </c>
      <c r="M420" s="45"/>
      <c r="N420" s="44">
        <v>5000</v>
      </c>
      <c r="O420" s="45"/>
    </row>
    <row r="421" spans="1:15" ht="14.25" customHeight="1">
      <c r="A421" s="56">
        <v>11118</v>
      </c>
      <c r="B421" s="57"/>
      <c r="C421" s="62" t="s">
        <v>424</v>
      </c>
      <c r="D421" s="63"/>
      <c r="E421" s="64"/>
      <c r="F421" s="91" t="s">
        <v>16</v>
      </c>
      <c r="G421" s="92"/>
      <c r="H421" s="77">
        <v>5000</v>
      </c>
      <c r="I421" s="78"/>
      <c r="J421" s="77">
        <v>5000</v>
      </c>
      <c r="K421" s="78"/>
      <c r="L421" s="77">
        <v>5000</v>
      </c>
      <c r="M421" s="78"/>
      <c r="N421" s="77">
        <v>5000</v>
      </c>
      <c r="O421" s="78"/>
    </row>
    <row r="422" spans="1:15" ht="14.25" customHeight="1">
      <c r="A422" s="58"/>
      <c r="B422" s="59"/>
      <c r="C422" s="83" t="s">
        <v>425</v>
      </c>
      <c r="D422" s="84"/>
      <c r="E422" s="85"/>
      <c r="F422" s="93"/>
      <c r="G422" s="94"/>
      <c r="H422" s="79"/>
      <c r="I422" s="80"/>
      <c r="J422" s="79"/>
      <c r="K422" s="80"/>
      <c r="L422" s="79"/>
      <c r="M422" s="80"/>
      <c r="N422" s="79"/>
      <c r="O422" s="80"/>
    </row>
    <row r="423" spans="1:15" ht="14.25" customHeight="1">
      <c r="A423" s="60"/>
      <c r="B423" s="61"/>
      <c r="C423" s="86" t="s">
        <v>288</v>
      </c>
      <c r="D423" s="87"/>
      <c r="E423" s="97"/>
      <c r="F423" s="95"/>
      <c r="G423" s="96"/>
      <c r="H423" s="81"/>
      <c r="I423" s="82"/>
      <c r="J423" s="81"/>
      <c r="K423" s="82"/>
      <c r="L423" s="81"/>
      <c r="M423" s="82"/>
      <c r="N423" s="81"/>
      <c r="O423" s="82"/>
    </row>
    <row r="424" spans="1:15" ht="14.25" customHeight="1">
      <c r="A424" s="46">
        <v>11035</v>
      </c>
      <c r="B424" s="47"/>
      <c r="C424" s="48" t="s">
        <v>426</v>
      </c>
      <c r="D424" s="49"/>
      <c r="E424" s="50"/>
      <c r="F424" s="51" t="s">
        <v>16</v>
      </c>
      <c r="G424" s="52"/>
      <c r="H424" s="44">
        <v>5000</v>
      </c>
      <c r="I424" s="45"/>
      <c r="J424" s="44">
        <v>5000</v>
      </c>
      <c r="K424" s="45"/>
      <c r="L424" s="44">
        <v>5000</v>
      </c>
      <c r="M424" s="45"/>
      <c r="N424" s="44">
        <v>5000</v>
      </c>
      <c r="O424" s="45"/>
    </row>
    <row r="425" spans="1:15" ht="14.25" customHeight="1">
      <c r="A425" s="46">
        <v>21040</v>
      </c>
      <c r="B425" s="47"/>
      <c r="C425" s="48" t="s">
        <v>427</v>
      </c>
      <c r="D425" s="49"/>
      <c r="E425" s="50"/>
      <c r="F425" s="51" t="s">
        <v>20</v>
      </c>
      <c r="G425" s="52"/>
      <c r="H425" s="44">
        <v>5000</v>
      </c>
      <c r="I425" s="45"/>
      <c r="J425" s="44">
        <v>5000</v>
      </c>
      <c r="K425" s="45"/>
      <c r="L425" s="44">
        <v>5000</v>
      </c>
      <c r="M425" s="45"/>
      <c r="N425" s="44">
        <v>5333</v>
      </c>
      <c r="O425" s="45"/>
    </row>
    <row r="426" spans="1:15" ht="14.25" customHeight="1">
      <c r="A426" s="46">
        <v>81074</v>
      </c>
      <c r="B426" s="47"/>
      <c r="C426" s="48" t="s">
        <v>428</v>
      </c>
      <c r="D426" s="49"/>
      <c r="E426" s="50"/>
      <c r="F426" s="51" t="s">
        <v>23</v>
      </c>
      <c r="G426" s="52"/>
      <c r="H426" s="44">
        <v>5000</v>
      </c>
      <c r="I426" s="45"/>
      <c r="J426" s="44">
        <v>5000</v>
      </c>
      <c r="K426" s="45"/>
      <c r="L426" s="44">
        <v>5000</v>
      </c>
      <c r="M426" s="45"/>
      <c r="N426" s="44">
        <v>5000</v>
      </c>
      <c r="O426" s="45"/>
    </row>
    <row r="427" spans="1:15" ht="14.25" customHeight="1">
      <c r="A427" s="46">
        <v>61028</v>
      </c>
      <c r="B427" s="47"/>
      <c r="C427" s="48" t="s">
        <v>429</v>
      </c>
      <c r="D427" s="49"/>
      <c r="E427" s="50"/>
      <c r="F427" s="51" t="s">
        <v>25</v>
      </c>
      <c r="G427" s="52"/>
      <c r="H427" s="44">
        <v>5000</v>
      </c>
      <c r="I427" s="45"/>
      <c r="J427" s="44">
        <v>5000</v>
      </c>
      <c r="K427" s="45"/>
      <c r="L427" s="44">
        <v>5000</v>
      </c>
      <c r="M427" s="45"/>
      <c r="N427" s="44">
        <v>5000</v>
      </c>
      <c r="O427" s="45"/>
    </row>
    <row r="428" spans="1:15" ht="14.25" customHeight="1">
      <c r="A428" s="46">
        <v>71077</v>
      </c>
      <c r="B428" s="47"/>
      <c r="C428" s="48" t="s">
        <v>430</v>
      </c>
      <c r="D428" s="49"/>
      <c r="E428" s="50"/>
      <c r="F428" s="51" t="s">
        <v>18</v>
      </c>
      <c r="G428" s="52"/>
      <c r="H428" s="44">
        <v>5496</v>
      </c>
      <c r="I428" s="45"/>
      <c r="J428" s="44">
        <v>5000</v>
      </c>
      <c r="K428" s="45"/>
      <c r="L428" s="44">
        <v>5000</v>
      </c>
      <c r="M428" s="45"/>
      <c r="N428" s="44">
        <v>6667</v>
      </c>
      <c r="O428" s="45"/>
    </row>
    <row r="429" spans="1:15" ht="14.25" customHeight="1">
      <c r="A429" s="46">
        <v>11104</v>
      </c>
      <c r="B429" s="47"/>
      <c r="C429" s="48" t="s">
        <v>431</v>
      </c>
      <c r="D429" s="49"/>
      <c r="E429" s="50"/>
      <c r="F429" s="51" t="s">
        <v>16</v>
      </c>
      <c r="G429" s="52"/>
      <c r="H429" s="44">
        <v>7944</v>
      </c>
      <c r="I429" s="45"/>
      <c r="J429" s="44">
        <v>5000</v>
      </c>
      <c r="K429" s="45"/>
      <c r="L429" s="44">
        <v>5000</v>
      </c>
      <c r="M429" s="45"/>
      <c r="N429" s="44">
        <v>5000</v>
      </c>
      <c r="O429" s="45"/>
    </row>
    <row r="430" spans="1:15" ht="14.25" customHeight="1">
      <c r="A430" s="46">
        <v>81078</v>
      </c>
      <c r="B430" s="47"/>
      <c r="C430" s="48" t="s">
        <v>432</v>
      </c>
      <c r="D430" s="49"/>
      <c r="E430" s="50"/>
      <c r="F430" s="51" t="s">
        <v>23</v>
      </c>
      <c r="G430" s="52"/>
      <c r="H430" s="44">
        <v>7937</v>
      </c>
      <c r="I430" s="45"/>
      <c r="J430" s="44">
        <v>5000</v>
      </c>
      <c r="K430" s="45"/>
      <c r="L430" s="44">
        <v>5830</v>
      </c>
      <c r="M430" s="45"/>
      <c r="N430" s="44">
        <v>5000</v>
      </c>
      <c r="O430" s="45"/>
    </row>
    <row r="431" spans="1:15" ht="14.25" customHeight="1">
      <c r="A431" s="46">
        <v>11034</v>
      </c>
      <c r="B431" s="47"/>
      <c r="C431" s="48" t="s">
        <v>433</v>
      </c>
      <c r="D431" s="49"/>
      <c r="E431" s="50"/>
      <c r="F431" s="51" t="s">
        <v>16</v>
      </c>
      <c r="G431" s="52"/>
      <c r="H431" s="44">
        <v>5000</v>
      </c>
      <c r="I431" s="45"/>
      <c r="J431" s="44">
        <v>5000</v>
      </c>
      <c r="K431" s="45"/>
      <c r="L431" s="44">
        <v>5000</v>
      </c>
      <c r="M431" s="45"/>
      <c r="N431" s="44">
        <v>5167</v>
      </c>
      <c r="O431" s="45"/>
    </row>
    <row r="432" spans="1:15" ht="14.25" customHeight="1">
      <c r="A432" s="46">
        <v>21039</v>
      </c>
      <c r="B432" s="47"/>
      <c r="C432" s="48" t="s">
        <v>434</v>
      </c>
      <c r="D432" s="49"/>
      <c r="E432" s="50"/>
      <c r="F432" s="51" t="s">
        <v>20</v>
      </c>
      <c r="G432" s="52"/>
      <c r="H432" s="44">
        <v>5000</v>
      </c>
      <c r="I432" s="45"/>
      <c r="J432" s="44">
        <v>5000</v>
      </c>
      <c r="K432" s="45"/>
      <c r="L432" s="44">
        <v>5000</v>
      </c>
      <c r="M432" s="45"/>
      <c r="N432" s="44">
        <v>5000</v>
      </c>
      <c r="O432" s="45"/>
    </row>
    <row r="433" spans="1:15" ht="14.25" customHeight="1">
      <c r="A433" s="46">
        <v>81075</v>
      </c>
      <c r="B433" s="47"/>
      <c r="C433" s="48" t="s">
        <v>435</v>
      </c>
      <c r="D433" s="49"/>
      <c r="E433" s="50"/>
      <c r="F433" s="51" t="s">
        <v>23</v>
      </c>
      <c r="G433" s="52"/>
      <c r="H433" s="44">
        <v>5000</v>
      </c>
      <c r="I433" s="45"/>
      <c r="J433" s="44">
        <v>5000</v>
      </c>
      <c r="K433" s="45"/>
      <c r="L433" s="44">
        <v>5000</v>
      </c>
      <c r="M433" s="45"/>
      <c r="N433" s="44">
        <v>5000</v>
      </c>
      <c r="O433" s="45"/>
    </row>
    <row r="434" spans="1:15" ht="14.25" customHeight="1">
      <c r="A434" s="46">
        <v>71078</v>
      </c>
      <c r="B434" s="47"/>
      <c r="C434" s="48" t="s">
        <v>436</v>
      </c>
      <c r="D434" s="49"/>
      <c r="E434" s="50"/>
      <c r="F434" s="51" t="s">
        <v>18</v>
      </c>
      <c r="G434" s="52"/>
      <c r="H434" s="44">
        <v>5228</v>
      </c>
      <c r="I434" s="45"/>
      <c r="J434" s="44">
        <v>6438</v>
      </c>
      <c r="K434" s="45"/>
      <c r="L434" s="44">
        <v>5000</v>
      </c>
      <c r="M434" s="45"/>
      <c r="N434" s="44">
        <v>8333</v>
      </c>
      <c r="O434" s="45"/>
    </row>
    <row r="435" spans="1:15" ht="14.25" customHeight="1">
      <c r="A435" s="46">
        <v>61081</v>
      </c>
      <c r="B435" s="47"/>
      <c r="C435" s="48" t="s">
        <v>437</v>
      </c>
      <c r="D435" s="49"/>
      <c r="E435" s="50"/>
      <c r="F435" s="51" t="s">
        <v>25</v>
      </c>
      <c r="G435" s="52"/>
      <c r="H435" s="44">
        <v>5000</v>
      </c>
      <c r="I435" s="45"/>
      <c r="J435" s="44">
        <v>5000</v>
      </c>
      <c r="K435" s="45"/>
      <c r="L435" s="44">
        <v>5000</v>
      </c>
      <c r="M435" s="45"/>
      <c r="N435" s="44">
        <v>5833</v>
      </c>
      <c r="O435" s="45"/>
    </row>
    <row r="436" spans="1:15" ht="14.25" customHeight="1">
      <c r="A436" s="46">
        <v>21138</v>
      </c>
      <c r="B436" s="47"/>
      <c r="C436" s="48" t="s">
        <v>438</v>
      </c>
      <c r="D436" s="49"/>
      <c r="E436" s="50"/>
      <c r="F436" s="51" t="s">
        <v>20</v>
      </c>
      <c r="G436" s="52"/>
      <c r="H436" s="44">
        <v>9006</v>
      </c>
      <c r="I436" s="45"/>
      <c r="J436" s="44">
        <v>5188</v>
      </c>
      <c r="K436" s="45"/>
      <c r="L436" s="44">
        <v>6710</v>
      </c>
      <c r="M436" s="45"/>
      <c r="N436" s="44">
        <v>5000</v>
      </c>
      <c r="O436" s="45"/>
    </row>
    <row r="437" spans="1:15" ht="14.25" customHeight="1">
      <c r="A437" s="46">
        <v>41003</v>
      </c>
      <c r="B437" s="47"/>
      <c r="C437" s="48" t="s">
        <v>439</v>
      </c>
      <c r="D437" s="49"/>
      <c r="E437" s="50"/>
      <c r="F437" s="51" t="s">
        <v>11</v>
      </c>
      <c r="G437" s="52"/>
      <c r="H437" s="44">
        <v>5000</v>
      </c>
      <c r="I437" s="45"/>
      <c r="J437" s="44">
        <v>5000</v>
      </c>
      <c r="K437" s="45"/>
      <c r="L437" s="44">
        <v>5000</v>
      </c>
      <c r="M437" s="45"/>
      <c r="N437" s="44">
        <v>5000</v>
      </c>
      <c r="O437" s="45"/>
    </row>
    <row r="438" spans="1:15" ht="14.25" customHeight="1">
      <c r="A438" s="46">
        <v>21101</v>
      </c>
      <c r="B438" s="47"/>
      <c r="C438" s="48" t="s">
        <v>440</v>
      </c>
      <c r="D438" s="49"/>
      <c r="E438" s="50"/>
      <c r="F438" s="51" t="s">
        <v>20</v>
      </c>
      <c r="G438" s="52"/>
      <c r="H438" s="44">
        <v>5000</v>
      </c>
      <c r="I438" s="45"/>
      <c r="J438" s="44">
        <v>5000</v>
      </c>
      <c r="K438" s="45"/>
      <c r="L438" s="44">
        <v>5000</v>
      </c>
      <c r="M438" s="45"/>
      <c r="N438" s="44">
        <v>6000</v>
      </c>
      <c r="O438" s="45"/>
    </row>
    <row r="439" spans="1:15" ht="14.25" customHeight="1">
      <c r="A439" s="46">
        <v>11081</v>
      </c>
      <c r="B439" s="47"/>
      <c r="C439" s="48" t="s">
        <v>441</v>
      </c>
      <c r="D439" s="49"/>
      <c r="E439" s="50"/>
      <c r="F439" s="51" t="s">
        <v>16</v>
      </c>
      <c r="G439" s="52"/>
      <c r="H439" s="44">
        <v>11746</v>
      </c>
      <c r="I439" s="45"/>
      <c r="J439" s="44">
        <v>7313</v>
      </c>
      <c r="K439" s="45"/>
      <c r="L439" s="44">
        <v>8750</v>
      </c>
      <c r="M439" s="45"/>
      <c r="N439" s="44">
        <v>5500</v>
      </c>
      <c r="O439" s="45"/>
    </row>
    <row r="440" spans="1:15" ht="14.25" customHeight="1">
      <c r="A440" s="46">
        <v>21043</v>
      </c>
      <c r="B440" s="47"/>
      <c r="C440" s="48" t="s">
        <v>442</v>
      </c>
      <c r="D440" s="49"/>
      <c r="E440" s="50"/>
      <c r="F440" s="51" t="s">
        <v>20</v>
      </c>
      <c r="G440" s="52"/>
      <c r="H440" s="44">
        <v>10188</v>
      </c>
      <c r="I440" s="45"/>
      <c r="J440" s="44">
        <v>6125</v>
      </c>
      <c r="K440" s="45"/>
      <c r="L440" s="44">
        <v>7600</v>
      </c>
      <c r="M440" s="45"/>
      <c r="N440" s="44">
        <v>5000</v>
      </c>
      <c r="O440" s="45"/>
    </row>
    <row r="441" spans="1:15" ht="14.25" customHeight="1">
      <c r="A441" s="46">
        <v>41021</v>
      </c>
      <c r="B441" s="47"/>
      <c r="C441" s="48" t="s">
        <v>443</v>
      </c>
      <c r="D441" s="49"/>
      <c r="E441" s="50"/>
      <c r="F441" s="51" t="s">
        <v>11</v>
      </c>
      <c r="G441" s="52"/>
      <c r="H441" s="44">
        <v>9636</v>
      </c>
      <c r="I441" s="45"/>
      <c r="J441" s="44">
        <v>5813</v>
      </c>
      <c r="K441" s="45"/>
      <c r="L441" s="44">
        <v>7294</v>
      </c>
      <c r="M441" s="45"/>
      <c r="N441" s="44">
        <v>5000</v>
      </c>
      <c r="O441" s="45"/>
    </row>
    <row r="442" spans="1:15" ht="14.25" customHeight="1">
      <c r="A442" s="46">
        <v>21044</v>
      </c>
      <c r="B442" s="47"/>
      <c r="C442" s="48" t="s">
        <v>444</v>
      </c>
      <c r="D442" s="49"/>
      <c r="E442" s="50"/>
      <c r="F442" s="51" t="s">
        <v>20</v>
      </c>
      <c r="G442" s="52"/>
      <c r="H442" s="44">
        <v>10922</v>
      </c>
      <c r="I442" s="45"/>
      <c r="J442" s="44">
        <v>6750</v>
      </c>
      <c r="K442" s="45"/>
      <c r="L442" s="44">
        <v>7960</v>
      </c>
      <c r="M442" s="45"/>
      <c r="N442" s="44">
        <v>5833</v>
      </c>
      <c r="O442" s="45"/>
    </row>
    <row r="443" spans="1:15" ht="14.25" customHeight="1">
      <c r="A443" s="46">
        <v>71032</v>
      </c>
      <c r="B443" s="47"/>
      <c r="C443" s="48" t="s">
        <v>445</v>
      </c>
      <c r="D443" s="49"/>
      <c r="E443" s="50"/>
      <c r="F443" s="51" t="s">
        <v>18</v>
      </c>
      <c r="G443" s="52"/>
      <c r="H443" s="44">
        <v>10440</v>
      </c>
      <c r="I443" s="45"/>
      <c r="J443" s="44">
        <v>6375</v>
      </c>
      <c r="K443" s="45"/>
      <c r="L443" s="44">
        <v>8710</v>
      </c>
      <c r="M443" s="45"/>
      <c r="N443" s="44">
        <v>5000</v>
      </c>
      <c r="O443" s="45"/>
    </row>
    <row r="444" spans="1:15" ht="14.25" customHeight="1">
      <c r="A444" s="46">
        <v>81066</v>
      </c>
      <c r="B444" s="47"/>
      <c r="C444" s="48" t="s">
        <v>446</v>
      </c>
      <c r="D444" s="49"/>
      <c r="E444" s="50"/>
      <c r="F444" s="51" t="s">
        <v>23</v>
      </c>
      <c r="G444" s="52"/>
      <c r="H444" s="44">
        <v>10445</v>
      </c>
      <c r="I444" s="45"/>
      <c r="J444" s="44">
        <v>6250</v>
      </c>
      <c r="K444" s="45"/>
      <c r="L444" s="44">
        <v>7890</v>
      </c>
      <c r="M444" s="45"/>
      <c r="N444" s="44">
        <v>6167</v>
      </c>
      <c r="O444" s="45"/>
    </row>
    <row r="445" spans="1:15" ht="14.25" customHeight="1">
      <c r="A445" s="46">
        <v>61046</v>
      </c>
      <c r="B445" s="47"/>
      <c r="C445" s="48" t="s">
        <v>447</v>
      </c>
      <c r="D445" s="49"/>
      <c r="E445" s="50"/>
      <c r="F445" s="51" t="s">
        <v>25</v>
      </c>
      <c r="G445" s="52"/>
      <c r="H445" s="44">
        <v>10372</v>
      </c>
      <c r="I445" s="45"/>
      <c r="J445" s="44">
        <v>5375</v>
      </c>
      <c r="K445" s="45"/>
      <c r="L445" s="44">
        <v>7820</v>
      </c>
      <c r="M445" s="45"/>
      <c r="N445" s="44">
        <v>5000</v>
      </c>
      <c r="O445" s="45"/>
    </row>
    <row r="446" spans="1:15" ht="14.25" customHeight="1">
      <c r="A446" s="46">
        <v>11037</v>
      </c>
      <c r="B446" s="47"/>
      <c r="C446" s="48" t="s">
        <v>448</v>
      </c>
      <c r="D446" s="49"/>
      <c r="E446" s="50"/>
      <c r="F446" s="51" t="s">
        <v>16</v>
      </c>
      <c r="G446" s="52"/>
      <c r="H446" s="44">
        <v>10989</v>
      </c>
      <c r="I446" s="45"/>
      <c r="J446" s="44">
        <v>6719</v>
      </c>
      <c r="K446" s="45"/>
      <c r="L446" s="44">
        <v>8170</v>
      </c>
      <c r="M446" s="45"/>
      <c r="N446" s="44">
        <v>5667</v>
      </c>
      <c r="O446" s="45"/>
    </row>
    <row r="447" spans="1:15" ht="14.25" customHeight="1">
      <c r="A447" s="46">
        <v>61029</v>
      </c>
      <c r="B447" s="47"/>
      <c r="C447" s="48" t="s">
        <v>449</v>
      </c>
      <c r="D447" s="49"/>
      <c r="E447" s="50"/>
      <c r="F447" s="51" t="s">
        <v>25</v>
      </c>
      <c r="G447" s="52"/>
      <c r="H447" s="44">
        <v>11042</v>
      </c>
      <c r="I447" s="45"/>
      <c r="J447" s="44">
        <v>5000</v>
      </c>
      <c r="K447" s="45"/>
      <c r="L447" s="44">
        <v>8390</v>
      </c>
      <c r="M447" s="45"/>
      <c r="N447" s="44">
        <v>5000</v>
      </c>
      <c r="O447" s="45"/>
    </row>
    <row r="448" spans="1:15" ht="14.25" customHeight="1">
      <c r="A448" s="46">
        <v>91043</v>
      </c>
      <c r="B448" s="47"/>
      <c r="C448" s="48" t="s">
        <v>450</v>
      </c>
      <c r="D448" s="49"/>
      <c r="E448" s="50"/>
      <c r="F448" s="51" t="s">
        <v>28</v>
      </c>
      <c r="G448" s="52"/>
      <c r="H448" s="44">
        <v>8106</v>
      </c>
      <c r="I448" s="45"/>
      <c r="J448" s="44">
        <v>5000</v>
      </c>
      <c r="K448" s="45"/>
      <c r="L448" s="44">
        <v>6860</v>
      </c>
      <c r="M448" s="45"/>
      <c r="N448" s="44">
        <v>5000</v>
      </c>
      <c r="O448" s="45"/>
    </row>
    <row r="449" spans="1:15" ht="29" customHeight="1">
      <c r="A449" s="88" t="s">
        <v>3</v>
      </c>
      <c r="B449" s="88"/>
      <c r="C449" s="89" t="s">
        <v>4</v>
      </c>
      <c r="D449" s="89"/>
      <c r="E449" s="89"/>
      <c r="F449" s="88" t="s">
        <v>5</v>
      </c>
      <c r="G449" s="88"/>
      <c r="H449" s="90" t="s">
        <v>6</v>
      </c>
      <c r="I449" s="90"/>
      <c r="J449" s="88" t="s">
        <v>7</v>
      </c>
      <c r="K449" s="88"/>
      <c r="L449" s="88" t="s">
        <v>8</v>
      </c>
      <c r="M449" s="88"/>
      <c r="N449" s="88" t="s">
        <v>9</v>
      </c>
      <c r="O449" s="88"/>
    </row>
    <row r="450" spans="1:15" ht="14.25" customHeight="1">
      <c r="A450" s="46">
        <v>41031</v>
      </c>
      <c r="B450" s="47"/>
      <c r="C450" s="48" t="s">
        <v>451</v>
      </c>
      <c r="D450" s="49"/>
      <c r="E450" s="50"/>
      <c r="F450" s="51" t="s">
        <v>11</v>
      </c>
      <c r="G450" s="52"/>
      <c r="H450" s="44">
        <v>8932</v>
      </c>
      <c r="I450" s="45"/>
      <c r="J450" s="44">
        <v>5000</v>
      </c>
      <c r="K450" s="45"/>
      <c r="L450" s="44">
        <v>6870</v>
      </c>
      <c r="M450" s="45"/>
      <c r="N450" s="44">
        <v>5000</v>
      </c>
      <c r="O450" s="45"/>
    </row>
    <row r="451" spans="1:15" ht="14.25" customHeight="1">
      <c r="A451" s="46">
        <v>91064</v>
      </c>
      <c r="B451" s="47"/>
      <c r="C451" s="48" t="s">
        <v>452</v>
      </c>
      <c r="D451" s="49"/>
      <c r="E451" s="50"/>
      <c r="F451" s="51" t="s">
        <v>28</v>
      </c>
      <c r="G451" s="52"/>
      <c r="H451" s="44">
        <v>8660</v>
      </c>
      <c r="I451" s="45"/>
      <c r="J451" s="44">
        <v>5000</v>
      </c>
      <c r="K451" s="45"/>
      <c r="L451" s="44">
        <v>6700</v>
      </c>
      <c r="M451" s="45"/>
      <c r="N451" s="44">
        <v>5000</v>
      </c>
      <c r="O451" s="45"/>
    </row>
    <row r="452" spans="1:15" ht="14.25" customHeight="1">
      <c r="A452" s="46">
        <v>21042</v>
      </c>
      <c r="B452" s="47"/>
      <c r="C452" s="48" t="s">
        <v>453</v>
      </c>
      <c r="D452" s="49"/>
      <c r="E452" s="50"/>
      <c r="F452" s="51" t="s">
        <v>20</v>
      </c>
      <c r="G452" s="52"/>
      <c r="H452" s="44">
        <v>7875</v>
      </c>
      <c r="I452" s="45"/>
      <c r="J452" s="44">
        <v>5000</v>
      </c>
      <c r="K452" s="45"/>
      <c r="L452" s="44">
        <v>6790</v>
      </c>
      <c r="M452" s="45"/>
      <c r="N452" s="44">
        <v>5000</v>
      </c>
      <c r="O452" s="45"/>
    </row>
    <row r="453" spans="1:15" ht="14.25" customHeight="1">
      <c r="A453" s="46">
        <v>71016</v>
      </c>
      <c r="B453" s="47"/>
      <c r="C453" s="48" t="s">
        <v>454</v>
      </c>
      <c r="D453" s="49"/>
      <c r="E453" s="50"/>
      <c r="F453" s="51" t="s">
        <v>18</v>
      </c>
      <c r="G453" s="52"/>
      <c r="H453" s="44">
        <v>11194</v>
      </c>
      <c r="I453" s="45"/>
      <c r="J453" s="44">
        <v>6250</v>
      </c>
      <c r="K453" s="45"/>
      <c r="L453" s="44">
        <v>8714</v>
      </c>
      <c r="M453" s="45"/>
      <c r="N453" s="44">
        <v>7167</v>
      </c>
      <c r="O453" s="45"/>
    </row>
    <row r="454" spans="1:15" ht="14.25" customHeight="1">
      <c r="A454" s="46">
        <v>21041</v>
      </c>
      <c r="B454" s="47"/>
      <c r="C454" s="48" t="s">
        <v>455</v>
      </c>
      <c r="D454" s="49"/>
      <c r="E454" s="50"/>
      <c r="F454" s="51" t="s">
        <v>20</v>
      </c>
      <c r="G454" s="52"/>
      <c r="H454" s="44">
        <v>8298</v>
      </c>
      <c r="I454" s="45"/>
      <c r="J454" s="44">
        <v>5500</v>
      </c>
      <c r="K454" s="45"/>
      <c r="L454" s="44">
        <v>7309</v>
      </c>
      <c r="M454" s="45"/>
      <c r="N454" s="44">
        <v>5000</v>
      </c>
      <c r="O454" s="45"/>
    </row>
    <row r="455" spans="1:15" ht="14.25" customHeight="1">
      <c r="A455" s="46">
        <v>71028</v>
      </c>
      <c r="B455" s="47"/>
      <c r="C455" s="48" t="s">
        <v>456</v>
      </c>
      <c r="D455" s="49"/>
      <c r="E455" s="50"/>
      <c r="F455" s="51" t="s">
        <v>18</v>
      </c>
      <c r="G455" s="52"/>
      <c r="H455" s="44">
        <v>10598</v>
      </c>
      <c r="I455" s="45"/>
      <c r="J455" s="44">
        <v>5188</v>
      </c>
      <c r="K455" s="45"/>
      <c r="L455" s="44">
        <v>8400</v>
      </c>
      <c r="M455" s="45"/>
      <c r="N455" s="44">
        <v>5167</v>
      </c>
      <c r="O455" s="45"/>
    </row>
    <row r="456" spans="1:15" ht="14.25" customHeight="1">
      <c r="A456" s="46">
        <v>61082</v>
      </c>
      <c r="B456" s="47"/>
      <c r="C456" s="48" t="s">
        <v>457</v>
      </c>
      <c r="D456" s="49"/>
      <c r="E456" s="50"/>
      <c r="F456" s="51" t="s">
        <v>25</v>
      </c>
      <c r="G456" s="52"/>
      <c r="H456" s="44">
        <v>10177</v>
      </c>
      <c r="I456" s="45"/>
      <c r="J456" s="44">
        <v>5660</v>
      </c>
      <c r="K456" s="45"/>
      <c r="L456" s="44">
        <v>8540</v>
      </c>
      <c r="M456" s="45"/>
      <c r="N456" s="44">
        <v>5000</v>
      </c>
      <c r="O456" s="45"/>
    </row>
    <row r="457" spans="1:15" ht="14.25" customHeight="1">
      <c r="A457" s="46">
        <v>91013</v>
      </c>
      <c r="B457" s="47"/>
      <c r="C457" s="48" t="s">
        <v>458</v>
      </c>
      <c r="D457" s="49"/>
      <c r="E457" s="50"/>
      <c r="F457" s="51" t="s">
        <v>28</v>
      </c>
      <c r="G457" s="52"/>
      <c r="H457" s="44">
        <v>8061</v>
      </c>
      <c r="I457" s="45"/>
      <c r="J457" s="44">
        <v>5000</v>
      </c>
      <c r="K457" s="45"/>
      <c r="L457" s="44">
        <v>6300</v>
      </c>
      <c r="M457" s="45"/>
      <c r="N457" s="44">
        <v>5000</v>
      </c>
      <c r="O457" s="45"/>
    </row>
    <row r="458" spans="1:15" ht="14.25" customHeight="1">
      <c r="A458" s="46">
        <v>71084</v>
      </c>
      <c r="B458" s="47"/>
      <c r="C458" s="48" t="s">
        <v>459</v>
      </c>
      <c r="D458" s="49"/>
      <c r="E458" s="50"/>
      <c r="F458" s="51" t="s">
        <v>18</v>
      </c>
      <c r="G458" s="52"/>
      <c r="H458" s="44">
        <v>10355</v>
      </c>
      <c r="I458" s="45"/>
      <c r="J458" s="44">
        <v>6125</v>
      </c>
      <c r="K458" s="45"/>
      <c r="L458" s="44">
        <v>8190</v>
      </c>
      <c r="M458" s="45"/>
      <c r="N458" s="44">
        <v>5000</v>
      </c>
      <c r="O458" s="45"/>
    </row>
    <row r="459" spans="1:15" ht="14.25" customHeight="1">
      <c r="A459" s="46">
        <v>21046</v>
      </c>
      <c r="B459" s="47"/>
      <c r="C459" s="48" t="s">
        <v>460</v>
      </c>
      <c r="D459" s="49"/>
      <c r="E459" s="50"/>
      <c r="F459" s="51" t="s">
        <v>20</v>
      </c>
      <c r="G459" s="52"/>
      <c r="H459" s="44">
        <v>5000</v>
      </c>
      <c r="I459" s="45"/>
      <c r="J459" s="44">
        <v>5000</v>
      </c>
      <c r="K459" s="45"/>
      <c r="L459" s="44">
        <v>5000</v>
      </c>
      <c r="M459" s="45"/>
      <c r="N459" s="44">
        <v>5000</v>
      </c>
      <c r="O459" s="45"/>
    </row>
    <row r="460" spans="1:15" ht="14.25" customHeight="1">
      <c r="A460" s="46">
        <v>81058</v>
      </c>
      <c r="B460" s="47"/>
      <c r="C460" s="48" t="s">
        <v>461</v>
      </c>
      <c r="D460" s="49"/>
      <c r="E460" s="50"/>
      <c r="F460" s="51" t="s">
        <v>23</v>
      </c>
      <c r="G460" s="52"/>
      <c r="H460" s="44">
        <v>5000</v>
      </c>
      <c r="I460" s="45"/>
      <c r="J460" s="44">
        <v>5000</v>
      </c>
      <c r="K460" s="45"/>
      <c r="L460" s="44">
        <v>5000</v>
      </c>
      <c r="M460" s="45"/>
      <c r="N460" s="44">
        <v>5000</v>
      </c>
      <c r="O460" s="45"/>
    </row>
    <row r="461" spans="1:15" ht="14.25" customHeight="1">
      <c r="A461" s="46">
        <v>31106</v>
      </c>
      <c r="B461" s="47"/>
      <c r="C461" s="48" t="s">
        <v>462</v>
      </c>
      <c r="D461" s="49"/>
      <c r="E461" s="50"/>
      <c r="F461" s="51" t="s">
        <v>58</v>
      </c>
      <c r="G461" s="52"/>
      <c r="H461" s="44">
        <v>11942</v>
      </c>
      <c r="I461" s="45"/>
      <c r="J461" s="44">
        <v>5000</v>
      </c>
      <c r="K461" s="45"/>
      <c r="L461" s="44">
        <v>8050</v>
      </c>
      <c r="M461" s="45"/>
      <c r="N461" s="44">
        <v>5000</v>
      </c>
      <c r="O461" s="45"/>
    </row>
    <row r="462" spans="1:15" ht="28.5" customHeight="1">
      <c r="A462" s="46">
        <v>21139</v>
      </c>
      <c r="B462" s="47"/>
      <c r="C462" s="53" t="s">
        <v>463</v>
      </c>
      <c r="D462" s="54"/>
      <c r="E462" s="55"/>
      <c r="F462" s="51" t="s">
        <v>20</v>
      </c>
      <c r="G462" s="52"/>
      <c r="H462" s="44">
        <v>11050</v>
      </c>
      <c r="I462" s="45"/>
      <c r="J462" s="44">
        <v>5000</v>
      </c>
      <c r="K462" s="45"/>
      <c r="L462" s="44">
        <v>6323</v>
      </c>
      <c r="M462" s="45"/>
      <c r="N462" s="44">
        <v>5000</v>
      </c>
      <c r="O462" s="45"/>
    </row>
    <row r="463" spans="1:15" ht="14.25" customHeight="1">
      <c r="A463" s="46">
        <v>10120</v>
      </c>
      <c r="B463" s="47"/>
      <c r="C463" s="48" t="s">
        <v>464</v>
      </c>
      <c r="D463" s="49"/>
      <c r="E463" s="50"/>
      <c r="F463" s="51" t="s">
        <v>16</v>
      </c>
      <c r="G463" s="52"/>
      <c r="H463" s="44">
        <v>5000</v>
      </c>
      <c r="I463" s="45"/>
      <c r="J463" s="44">
        <v>5000</v>
      </c>
      <c r="K463" s="45"/>
      <c r="L463" s="44">
        <v>5000</v>
      </c>
      <c r="M463" s="45"/>
      <c r="N463" s="44">
        <v>6167</v>
      </c>
      <c r="O463" s="45"/>
    </row>
    <row r="464" spans="1:15" ht="14.25" customHeight="1">
      <c r="A464" s="46">
        <v>11039</v>
      </c>
      <c r="B464" s="47"/>
      <c r="C464" s="48" t="s">
        <v>465</v>
      </c>
      <c r="D464" s="49"/>
      <c r="E464" s="50"/>
      <c r="F464" s="51" t="s">
        <v>16</v>
      </c>
      <c r="G464" s="52"/>
      <c r="H464" s="44">
        <v>5000</v>
      </c>
      <c r="I464" s="45"/>
      <c r="J464" s="44">
        <v>5000</v>
      </c>
      <c r="K464" s="45"/>
      <c r="L464" s="44">
        <v>5000</v>
      </c>
      <c r="M464" s="45"/>
      <c r="N464" s="44">
        <v>5000</v>
      </c>
      <c r="O464" s="45"/>
    </row>
    <row r="465" spans="1:15" ht="14.25" customHeight="1">
      <c r="A465" s="46">
        <v>71072</v>
      </c>
      <c r="B465" s="47"/>
      <c r="C465" s="48" t="s">
        <v>466</v>
      </c>
      <c r="D465" s="49"/>
      <c r="E465" s="50"/>
      <c r="F465" s="51" t="s">
        <v>18</v>
      </c>
      <c r="G465" s="52"/>
      <c r="H465" s="44">
        <v>5000</v>
      </c>
      <c r="I465" s="45"/>
      <c r="J465" s="44">
        <v>5000</v>
      </c>
      <c r="K465" s="45"/>
      <c r="L465" s="44">
        <v>5000</v>
      </c>
      <c r="M465" s="45"/>
      <c r="N465" s="44">
        <v>5000</v>
      </c>
      <c r="O465" s="45"/>
    </row>
    <row r="466" spans="1:15" ht="14.25" customHeight="1">
      <c r="A466" s="46">
        <v>21136</v>
      </c>
      <c r="B466" s="47"/>
      <c r="C466" s="48" t="s">
        <v>467</v>
      </c>
      <c r="D466" s="49"/>
      <c r="E466" s="50"/>
      <c r="F466" s="51" t="s">
        <v>20</v>
      </c>
      <c r="G466" s="52"/>
      <c r="H466" s="44">
        <v>5000</v>
      </c>
      <c r="I466" s="45"/>
      <c r="J466" s="44">
        <v>5000</v>
      </c>
      <c r="K466" s="45"/>
      <c r="L466" s="44">
        <v>5000</v>
      </c>
      <c r="M466" s="45"/>
      <c r="N466" s="44">
        <v>7500</v>
      </c>
      <c r="O466" s="45"/>
    </row>
    <row r="467" spans="1:15" ht="14.25" customHeight="1">
      <c r="A467" s="46">
        <v>71073</v>
      </c>
      <c r="B467" s="47"/>
      <c r="C467" s="48" t="s">
        <v>468</v>
      </c>
      <c r="D467" s="49"/>
      <c r="E467" s="50"/>
      <c r="F467" s="51" t="s">
        <v>18</v>
      </c>
      <c r="G467" s="52"/>
      <c r="H467" s="44">
        <v>5000</v>
      </c>
      <c r="I467" s="45"/>
      <c r="J467" s="44">
        <v>6000</v>
      </c>
      <c r="K467" s="45"/>
      <c r="L467" s="44">
        <v>5000</v>
      </c>
      <c r="M467" s="45"/>
      <c r="N467" s="44">
        <v>5000</v>
      </c>
      <c r="O467" s="45"/>
    </row>
    <row r="468" spans="1:15" ht="14.25" customHeight="1">
      <c r="A468" s="46">
        <v>41023</v>
      </c>
      <c r="B468" s="47"/>
      <c r="C468" s="48" t="s">
        <v>469</v>
      </c>
      <c r="D468" s="49"/>
      <c r="E468" s="50"/>
      <c r="F468" s="51" t="s">
        <v>11</v>
      </c>
      <c r="G468" s="52"/>
      <c r="H468" s="44">
        <v>5000</v>
      </c>
      <c r="I468" s="45"/>
      <c r="J468" s="44">
        <v>5000</v>
      </c>
      <c r="K468" s="45"/>
      <c r="L468" s="44">
        <v>5000</v>
      </c>
      <c r="M468" s="45"/>
      <c r="N468" s="44">
        <v>5000</v>
      </c>
      <c r="O468" s="45"/>
    </row>
    <row r="469" spans="1:15" ht="28.5" customHeight="1">
      <c r="A469" s="46">
        <v>41054</v>
      </c>
      <c r="B469" s="47"/>
      <c r="C469" s="53" t="s">
        <v>470</v>
      </c>
      <c r="D469" s="54"/>
      <c r="E469" s="55"/>
      <c r="F469" s="51" t="s">
        <v>11</v>
      </c>
      <c r="G469" s="52"/>
      <c r="H469" s="44">
        <v>10158</v>
      </c>
      <c r="I469" s="45"/>
      <c r="J469" s="44">
        <v>5000</v>
      </c>
      <c r="K469" s="45"/>
      <c r="L469" s="44">
        <v>5000</v>
      </c>
      <c r="M469" s="45"/>
      <c r="N469" s="44">
        <v>5000</v>
      </c>
      <c r="O469" s="45"/>
    </row>
    <row r="470" spans="1:15" ht="14.25" customHeight="1">
      <c r="A470" s="46">
        <v>11040</v>
      </c>
      <c r="B470" s="47"/>
      <c r="C470" s="48" t="s">
        <v>471</v>
      </c>
      <c r="D470" s="49"/>
      <c r="E470" s="50"/>
      <c r="F470" s="51" t="s">
        <v>16</v>
      </c>
      <c r="G470" s="52"/>
      <c r="H470" s="44">
        <v>5000</v>
      </c>
      <c r="I470" s="45"/>
      <c r="J470" s="44">
        <v>5000</v>
      </c>
      <c r="K470" s="45"/>
      <c r="L470" s="44">
        <v>5000</v>
      </c>
      <c r="M470" s="45"/>
      <c r="N470" s="44">
        <v>5000</v>
      </c>
      <c r="O470" s="45"/>
    </row>
    <row r="471" spans="1:15" ht="14.25" customHeight="1">
      <c r="A471" s="46">
        <v>11082</v>
      </c>
      <c r="B471" s="47"/>
      <c r="C471" s="48" t="s">
        <v>472</v>
      </c>
      <c r="D471" s="49"/>
      <c r="E471" s="50"/>
      <c r="F471" s="51" t="s">
        <v>16</v>
      </c>
      <c r="G471" s="52"/>
      <c r="H471" s="44">
        <v>5000</v>
      </c>
      <c r="I471" s="45"/>
      <c r="J471" s="44">
        <v>5000</v>
      </c>
      <c r="K471" s="45"/>
      <c r="L471" s="44">
        <v>5000</v>
      </c>
      <c r="M471" s="45"/>
      <c r="N471" s="44">
        <v>5000</v>
      </c>
      <c r="O471" s="45"/>
    </row>
    <row r="472" spans="1:15" ht="14.25" customHeight="1">
      <c r="A472" s="46">
        <v>81064</v>
      </c>
      <c r="B472" s="47"/>
      <c r="C472" s="48" t="s">
        <v>473</v>
      </c>
      <c r="D472" s="49"/>
      <c r="E472" s="50"/>
      <c r="F472" s="51" t="s">
        <v>23</v>
      </c>
      <c r="G472" s="52"/>
      <c r="H472" s="44">
        <v>5000</v>
      </c>
      <c r="I472" s="45"/>
      <c r="J472" s="44">
        <v>5000</v>
      </c>
      <c r="K472" s="45"/>
      <c r="L472" s="44">
        <v>5000</v>
      </c>
      <c r="M472" s="45"/>
      <c r="N472" s="44">
        <v>5000</v>
      </c>
      <c r="O472" s="45"/>
    </row>
    <row r="473" spans="1:15" ht="14.25" customHeight="1">
      <c r="A473" s="46">
        <v>41048</v>
      </c>
      <c r="B473" s="47"/>
      <c r="C473" s="48" t="s">
        <v>474</v>
      </c>
      <c r="D473" s="49"/>
      <c r="E473" s="50"/>
      <c r="F473" s="51" t="s">
        <v>11</v>
      </c>
      <c r="G473" s="52"/>
      <c r="H473" s="44">
        <v>5802</v>
      </c>
      <c r="I473" s="45"/>
      <c r="J473" s="44">
        <v>5000</v>
      </c>
      <c r="K473" s="45"/>
      <c r="L473" s="44">
        <v>5000</v>
      </c>
      <c r="M473" s="45"/>
      <c r="N473" s="44">
        <v>5000</v>
      </c>
      <c r="O473" s="45"/>
    </row>
    <row r="474" spans="1:15" ht="14.25" customHeight="1">
      <c r="A474" s="46">
        <v>21048</v>
      </c>
      <c r="B474" s="47"/>
      <c r="C474" s="48" t="s">
        <v>475</v>
      </c>
      <c r="D474" s="49"/>
      <c r="E474" s="50"/>
      <c r="F474" s="51" t="s">
        <v>20</v>
      </c>
      <c r="G474" s="52"/>
      <c r="H474" s="44">
        <v>8970</v>
      </c>
      <c r="I474" s="45"/>
      <c r="J474" s="44">
        <v>5000</v>
      </c>
      <c r="K474" s="45"/>
      <c r="L474" s="44">
        <v>5000</v>
      </c>
      <c r="M474" s="45"/>
      <c r="N474" s="44">
        <v>5000</v>
      </c>
      <c r="O474" s="45"/>
    </row>
    <row r="475" spans="1:15" ht="14.25" customHeight="1">
      <c r="A475" s="46">
        <v>71062</v>
      </c>
      <c r="B475" s="47"/>
      <c r="C475" s="48" t="s">
        <v>476</v>
      </c>
      <c r="D475" s="49"/>
      <c r="E475" s="50"/>
      <c r="F475" s="51" t="s">
        <v>18</v>
      </c>
      <c r="G475" s="52"/>
      <c r="H475" s="44">
        <v>5000</v>
      </c>
      <c r="I475" s="45"/>
      <c r="J475" s="44">
        <v>5000</v>
      </c>
      <c r="K475" s="45"/>
      <c r="L475" s="44">
        <v>5000</v>
      </c>
      <c r="M475" s="45"/>
      <c r="N475" s="44">
        <v>5000</v>
      </c>
      <c r="O475" s="45"/>
    </row>
    <row r="476" spans="1:15" ht="14.25" customHeight="1">
      <c r="A476" s="46">
        <v>71074</v>
      </c>
      <c r="B476" s="47"/>
      <c r="C476" s="48" t="s">
        <v>477</v>
      </c>
      <c r="D476" s="49"/>
      <c r="E476" s="50"/>
      <c r="F476" s="51" t="s">
        <v>18</v>
      </c>
      <c r="G476" s="52"/>
      <c r="H476" s="44">
        <v>5000</v>
      </c>
      <c r="I476" s="45"/>
      <c r="J476" s="44">
        <v>5000</v>
      </c>
      <c r="K476" s="45"/>
      <c r="L476" s="44">
        <v>5000</v>
      </c>
      <c r="M476" s="45"/>
      <c r="N476" s="44">
        <v>5000</v>
      </c>
      <c r="O476" s="45"/>
    </row>
    <row r="477" spans="1:15" ht="14.25" customHeight="1">
      <c r="A477" s="46">
        <v>81051</v>
      </c>
      <c r="B477" s="47"/>
      <c r="C477" s="48" t="s">
        <v>478</v>
      </c>
      <c r="D477" s="49"/>
      <c r="E477" s="50"/>
      <c r="F477" s="51" t="s">
        <v>23</v>
      </c>
      <c r="G477" s="52"/>
      <c r="H477" s="44">
        <v>5000</v>
      </c>
      <c r="I477" s="45"/>
      <c r="J477" s="44">
        <v>5000</v>
      </c>
      <c r="K477" s="45"/>
      <c r="L477" s="44">
        <v>5000</v>
      </c>
      <c r="M477" s="45"/>
      <c r="N477" s="44">
        <v>5000</v>
      </c>
      <c r="O477" s="45"/>
    </row>
    <row r="478" spans="1:15" ht="14.25" customHeight="1">
      <c r="A478" s="46">
        <v>61078</v>
      </c>
      <c r="B478" s="47"/>
      <c r="C478" s="48" t="s">
        <v>479</v>
      </c>
      <c r="D478" s="49"/>
      <c r="E478" s="50"/>
      <c r="F478" s="51" t="s">
        <v>25</v>
      </c>
      <c r="G478" s="52"/>
      <c r="H478" s="44">
        <v>5000</v>
      </c>
      <c r="I478" s="45"/>
      <c r="J478" s="44">
        <v>5000</v>
      </c>
      <c r="K478" s="45"/>
      <c r="L478" s="44">
        <v>5000</v>
      </c>
      <c r="M478" s="45"/>
      <c r="N478" s="44">
        <v>5000</v>
      </c>
      <c r="O478" s="45"/>
    </row>
    <row r="479" spans="1:15" ht="14.25" customHeight="1">
      <c r="A479" s="46">
        <v>91032</v>
      </c>
      <c r="B479" s="47"/>
      <c r="C479" s="48" t="s">
        <v>480</v>
      </c>
      <c r="D479" s="49"/>
      <c r="E479" s="50"/>
      <c r="F479" s="51" t="s">
        <v>28</v>
      </c>
      <c r="G479" s="52"/>
      <c r="H479" s="44">
        <v>5726</v>
      </c>
      <c r="I479" s="45"/>
      <c r="J479" s="44">
        <v>5000</v>
      </c>
      <c r="K479" s="45"/>
      <c r="L479" s="44">
        <v>5000</v>
      </c>
      <c r="M479" s="45"/>
      <c r="N479" s="44">
        <v>5000</v>
      </c>
      <c r="O479" s="45"/>
    </row>
    <row r="480" spans="1:15" ht="14.25" customHeight="1">
      <c r="A480" s="46">
        <v>41039</v>
      </c>
      <c r="B480" s="47"/>
      <c r="C480" s="48" t="s">
        <v>481</v>
      </c>
      <c r="D480" s="49"/>
      <c r="E480" s="50"/>
      <c r="F480" s="51" t="s">
        <v>11</v>
      </c>
      <c r="G480" s="52"/>
      <c r="H480" s="44">
        <v>5876</v>
      </c>
      <c r="I480" s="45"/>
      <c r="J480" s="44">
        <v>5000</v>
      </c>
      <c r="K480" s="45"/>
      <c r="L480" s="44">
        <v>5000</v>
      </c>
      <c r="M480" s="45"/>
      <c r="N480" s="44">
        <v>5000</v>
      </c>
      <c r="O480" s="45"/>
    </row>
    <row r="481" spans="1:15" ht="28.5" customHeight="1">
      <c r="A481" s="46">
        <v>41062</v>
      </c>
      <c r="B481" s="47"/>
      <c r="C481" s="53" t="s">
        <v>482</v>
      </c>
      <c r="D481" s="54"/>
      <c r="E481" s="55"/>
      <c r="F481" s="51" t="s">
        <v>11</v>
      </c>
      <c r="G481" s="52"/>
      <c r="H481" s="44">
        <v>5000</v>
      </c>
      <c r="I481" s="45"/>
      <c r="J481" s="44">
        <v>5000</v>
      </c>
      <c r="K481" s="45"/>
      <c r="L481" s="44">
        <v>5000</v>
      </c>
      <c r="M481" s="45"/>
      <c r="N481" s="44">
        <v>5000</v>
      </c>
      <c r="O481" s="45"/>
    </row>
    <row r="482" spans="1:15" ht="14.25" customHeight="1">
      <c r="A482" s="46">
        <v>11115</v>
      </c>
      <c r="B482" s="47"/>
      <c r="C482" s="48" t="s">
        <v>483</v>
      </c>
      <c r="D482" s="49"/>
      <c r="E482" s="50"/>
      <c r="F482" s="51" t="s">
        <v>16</v>
      </c>
      <c r="G482" s="52"/>
      <c r="H482" s="44">
        <v>5000</v>
      </c>
      <c r="I482" s="45"/>
      <c r="J482" s="44">
        <v>5000</v>
      </c>
      <c r="K482" s="45"/>
      <c r="L482" s="44">
        <v>5000</v>
      </c>
      <c r="M482" s="45"/>
      <c r="N482" s="44">
        <v>5000</v>
      </c>
      <c r="O482" s="45"/>
    </row>
    <row r="483" spans="1:15" ht="28.5" customHeight="1">
      <c r="A483" s="46">
        <v>31132</v>
      </c>
      <c r="B483" s="47"/>
      <c r="C483" s="53" t="s">
        <v>484</v>
      </c>
      <c r="D483" s="54"/>
      <c r="E483" s="55"/>
      <c r="F483" s="51" t="s">
        <v>58</v>
      </c>
      <c r="G483" s="52"/>
      <c r="H483" s="44">
        <v>6324</v>
      </c>
      <c r="I483" s="45"/>
      <c r="J483" s="44">
        <v>5000</v>
      </c>
      <c r="K483" s="45"/>
      <c r="L483" s="44">
        <v>5000</v>
      </c>
      <c r="M483" s="45"/>
      <c r="N483" s="44">
        <v>5000</v>
      </c>
      <c r="O483" s="45"/>
    </row>
    <row r="484" spans="1:15" ht="28.5" customHeight="1">
      <c r="A484" s="46">
        <v>31131</v>
      </c>
      <c r="B484" s="47"/>
      <c r="C484" s="53" t="s">
        <v>485</v>
      </c>
      <c r="D484" s="54"/>
      <c r="E484" s="55"/>
      <c r="F484" s="51" t="s">
        <v>58</v>
      </c>
      <c r="G484" s="52"/>
      <c r="H484" s="44">
        <v>5000</v>
      </c>
      <c r="I484" s="45"/>
      <c r="J484" s="44">
        <v>5000</v>
      </c>
      <c r="K484" s="45"/>
      <c r="L484" s="44">
        <v>5000</v>
      </c>
      <c r="M484" s="45"/>
      <c r="N484" s="44">
        <v>5000</v>
      </c>
      <c r="O484" s="45"/>
    </row>
    <row r="485" spans="1:15" ht="28.5" customHeight="1">
      <c r="A485" s="46">
        <v>31134</v>
      </c>
      <c r="B485" s="47"/>
      <c r="C485" s="53" t="s">
        <v>486</v>
      </c>
      <c r="D485" s="54"/>
      <c r="E485" s="55"/>
      <c r="F485" s="51" t="s">
        <v>58</v>
      </c>
      <c r="G485" s="52"/>
      <c r="H485" s="44">
        <v>5000</v>
      </c>
      <c r="I485" s="45"/>
      <c r="J485" s="44">
        <v>5000</v>
      </c>
      <c r="K485" s="45"/>
      <c r="L485" s="44">
        <v>5000</v>
      </c>
      <c r="M485" s="45"/>
      <c r="N485" s="44">
        <v>5000</v>
      </c>
      <c r="O485" s="45"/>
    </row>
    <row r="486" spans="1:15" ht="28.5" customHeight="1">
      <c r="A486" s="46">
        <v>31133</v>
      </c>
      <c r="B486" s="47"/>
      <c r="C486" s="53" t="s">
        <v>487</v>
      </c>
      <c r="D486" s="54"/>
      <c r="E486" s="55"/>
      <c r="F486" s="51" t="s">
        <v>58</v>
      </c>
      <c r="G486" s="52"/>
      <c r="H486" s="44">
        <v>5000</v>
      </c>
      <c r="I486" s="45"/>
      <c r="J486" s="44">
        <v>5000</v>
      </c>
      <c r="K486" s="45"/>
      <c r="L486" s="44">
        <v>5000</v>
      </c>
      <c r="M486" s="45"/>
      <c r="N486" s="44">
        <v>5000</v>
      </c>
      <c r="O486" s="45"/>
    </row>
    <row r="487" spans="1:15" ht="14.25" customHeight="1">
      <c r="A487" s="46">
        <v>21122</v>
      </c>
      <c r="B487" s="47"/>
      <c r="C487" s="48" t="s">
        <v>488</v>
      </c>
      <c r="D487" s="49"/>
      <c r="E487" s="50"/>
      <c r="F487" s="51" t="s">
        <v>20</v>
      </c>
      <c r="G487" s="52"/>
      <c r="H487" s="44">
        <v>11442</v>
      </c>
      <c r="I487" s="45"/>
      <c r="J487" s="44">
        <v>5000</v>
      </c>
      <c r="K487" s="45"/>
      <c r="L487" s="44">
        <v>7830</v>
      </c>
      <c r="M487" s="45"/>
      <c r="N487" s="44">
        <v>5000</v>
      </c>
      <c r="O487" s="45"/>
    </row>
    <row r="488" spans="1:15" ht="14.25" customHeight="1">
      <c r="A488" s="46">
        <v>11041</v>
      </c>
      <c r="B488" s="47"/>
      <c r="C488" s="48" t="s">
        <v>489</v>
      </c>
      <c r="D488" s="49"/>
      <c r="E488" s="50"/>
      <c r="F488" s="51" t="s">
        <v>16</v>
      </c>
      <c r="G488" s="52"/>
      <c r="H488" s="44">
        <v>12286</v>
      </c>
      <c r="I488" s="45"/>
      <c r="J488" s="44">
        <v>6063</v>
      </c>
      <c r="K488" s="45"/>
      <c r="L488" s="44">
        <v>8300</v>
      </c>
      <c r="M488" s="45"/>
      <c r="N488" s="44">
        <v>7667</v>
      </c>
      <c r="O488" s="45"/>
    </row>
    <row r="489" spans="1:15" ht="14.25" customHeight="1">
      <c r="A489" s="46">
        <v>31040</v>
      </c>
      <c r="B489" s="47"/>
      <c r="C489" s="48" t="s">
        <v>489</v>
      </c>
      <c r="D489" s="49"/>
      <c r="E489" s="50"/>
      <c r="F489" s="51" t="s">
        <v>58</v>
      </c>
      <c r="G489" s="52"/>
      <c r="H489" s="44">
        <v>12644</v>
      </c>
      <c r="I489" s="45"/>
      <c r="J489" s="44">
        <v>6438</v>
      </c>
      <c r="K489" s="45"/>
      <c r="L489" s="44">
        <v>7640</v>
      </c>
      <c r="M489" s="45"/>
      <c r="N489" s="44">
        <v>5000</v>
      </c>
      <c r="O489" s="45"/>
    </row>
    <row r="490" spans="1:15" ht="14.25" customHeight="1">
      <c r="A490" s="46">
        <v>21003</v>
      </c>
      <c r="B490" s="47"/>
      <c r="C490" s="48" t="s">
        <v>490</v>
      </c>
      <c r="D490" s="49"/>
      <c r="E490" s="50"/>
      <c r="F490" s="51" t="s">
        <v>20</v>
      </c>
      <c r="G490" s="52"/>
      <c r="H490" s="44">
        <v>12002</v>
      </c>
      <c r="I490" s="45"/>
      <c r="J490" s="44">
        <v>5000</v>
      </c>
      <c r="K490" s="45"/>
      <c r="L490" s="44">
        <v>7730</v>
      </c>
      <c r="M490" s="45"/>
      <c r="N490" s="44">
        <v>5000</v>
      </c>
      <c r="O490" s="45"/>
    </row>
    <row r="491" spans="1:15" ht="14.25" customHeight="1">
      <c r="A491" s="46">
        <v>11043</v>
      </c>
      <c r="B491" s="47"/>
      <c r="C491" s="48" t="s">
        <v>491</v>
      </c>
      <c r="D491" s="49"/>
      <c r="E491" s="50"/>
      <c r="F491" s="51" t="s">
        <v>16</v>
      </c>
      <c r="G491" s="52"/>
      <c r="H491" s="44">
        <v>12850</v>
      </c>
      <c r="I491" s="45"/>
      <c r="J491" s="44">
        <v>7250</v>
      </c>
      <c r="K491" s="45"/>
      <c r="L491" s="44">
        <v>9540</v>
      </c>
      <c r="M491" s="45"/>
      <c r="N491" s="44">
        <v>5000</v>
      </c>
      <c r="O491" s="45"/>
    </row>
    <row r="492" spans="1:15" ht="14.25" customHeight="1">
      <c r="A492" s="46">
        <v>41058</v>
      </c>
      <c r="B492" s="47"/>
      <c r="C492" s="48" t="s">
        <v>492</v>
      </c>
      <c r="D492" s="49"/>
      <c r="E492" s="50"/>
      <c r="F492" s="51" t="s">
        <v>11</v>
      </c>
      <c r="G492" s="52"/>
      <c r="H492" s="44">
        <v>12650</v>
      </c>
      <c r="I492" s="45"/>
      <c r="J492" s="44">
        <v>6438</v>
      </c>
      <c r="K492" s="45"/>
      <c r="L492" s="44">
        <v>9490</v>
      </c>
      <c r="M492" s="45"/>
      <c r="N492" s="44">
        <v>5000</v>
      </c>
      <c r="O492" s="45"/>
    </row>
    <row r="493" spans="1:15" ht="14.25" customHeight="1">
      <c r="A493" s="46">
        <v>21079</v>
      </c>
      <c r="B493" s="47"/>
      <c r="C493" s="48" t="s">
        <v>493</v>
      </c>
      <c r="D493" s="49"/>
      <c r="E493" s="50"/>
      <c r="F493" s="51" t="s">
        <v>20</v>
      </c>
      <c r="G493" s="52"/>
      <c r="H493" s="44">
        <v>12494</v>
      </c>
      <c r="I493" s="45"/>
      <c r="J493" s="44">
        <v>5625</v>
      </c>
      <c r="K493" s="45"/>
      <c r="L493" s="44">
        <v>9270</v>
      </c>
      <c r="M493" s="45"/>
      <c r="N493" s="44">
        <v>5000</v>
      </c>
      <c r="O493" s="45"/>
    </row>
    <row r="494" spans="1:15" ht="14.25" customHeight="1">
      <c r="A494" s="46">
        <v>81001</v>
      </c>
      <c r="B494" s="47"/>
      <c r="C494" s="48" t="s">
        <v>494</v>
      </c>
      <c r="D494" s="49"/>
      <c r="E494" s="50"/>
      <c r="F494" s="51" t="s">
        <v>23</v>
      </c>
      <c r="G494" s="52"/>
      <c r="H494" s="44">
        <v>12453</v>
      </c>
      <c r="I494" s="45"/>
      <c r="J494" s="44">
        <v>5750</v>
      </c>
      <c r="K494" s="45"/>
      <c r="L494" s="44">
        <v>9340</v>
      </c>
      <c r="M494" s="45"/>
      <c r="N494" s="44">
        <v>5000</v>
      </c>
      <c r="O494" s="45"/>
    </row>
    <row r="495" spans="1:15" ht="14.25" customHeight="1">
      <c r="A495" s="46">
        <v>11083</v>
      </c>
      <c r="B495" s="47"/>
      <c r="C495" s="48" t="s">
        <v>495</v>
      </c>
      <c r="D495" s="49"/>
      <c r="E495" s="50"/>
      <c r="F495" s="51" t="s">
        <v>16</v>
      </c>
      <c r="G495" s="52"/>
      <c r="H495" s="44">
        <v>12650</v>
      </c>
      <c r="I495" s="45"/>
      <c r="J495" s="44">
        <v>6750</v>
      </c>
      <c r="K495" s="45"/>
      <c r="L495" s="44">
        <v>9380</v>
      </c>
      <c r="M495" s="45"/>
      <c r="N495" s="44">
        <v>5000</v>
      </c>
      <c r="O495" s="45"/>
    </row>
    <row r="496" spans="1:15" ht="14.25" customHeight="1">
      <c r="A496" s="46">
        <v>61030</v>
      </c>
      <c r="B496" s="47"/>
      <c r="C496" s="48" t="s">
        <v>496</v>
      </c>
      <c r="D496" s="49"/>
      <c r="E496" s="50"/>
      <c r="F496" s="51" t="s">
        <v>25</v>
      </c>
      <c r="G496" s="52"/>
      <c r="H496" s="44">
        <v>12467</v>
      </c>
      <c r="I496" s="45"/>
      <c r="J496" s="44">
        <v>5032</v>
      </c>
      <c r="K496" s="45"/>
      <c r="L496" s="44">
        <v>9270</v>
      </c>
      <c r="M496" s="45"/>
      <c r="N496" s="44">
        <v>5000</v>
      </c>
      <c r="O496" s="45"/>
    </row>
    <row r="497" spans="1:15" ht="14.25" customHeight="1">
      <c r="A497" s="46">
        <v>71019</v>
      </c>
      <c r="B497" s="47"/>
      <c r="C497" s="48" t="s">
        <v>497</v>
      </c>
      <c r="D497" s="49"/>
      <c r="E497" s="50"/>
      <c r="F497" s="51" t="s">
        <v>18</v>
      </c>
      <c r="G497" s="52"/>
      <c r="H497" s="44">
        <v>12576</v>
      </c>
      <c r="I497" s="45"/>
      <c r="J497" s="44">
        <v>6813</v>
      </c>
      <c r="K497" s="45"/>
      <c r="L497" s="44">
        <v>9530</v>
      </c>
      <c r="M497" s="45"/>
      <c r="N497" s="44">
        <v>5000</v>
      </c>
      <c r="O497" s="45"/>
    </row>
    <row r="498" spans="1:15" ht="14.25" customHeight="1">
      <c r="A498" s="46">
        <v>91054</v>
      </c>
      <c r="B498" s="47"/>
      <c r="C498" s="48" t="s">
        <v>498</v>
      </c>
      <c r="D498" s="49"/>
      <c r="E498" s="50"/>
      <c r="F498" s="51" t="s">
        <v>28</v>
      </c>
      <c r="G498" s="52"/>
      <c r="H498" s="44">
        <v>11865</v>
      </c>
      <c r="I498" s="45"/>
      <c r="J498" s="44">
        <v>5000</v>
      </c>
      <c r="K498" s="45"/>
      <c r="L498" s="44">
        <v>9070</v>
      </c>
      <c r="M498" s="45"/>
      <c r="N498" s="44">
        <v>5000</v>
      </c>
      <c r="O498" s="45"/>
    </row>
    <row r="499" spans="1:15" ht="14.25" customHeight="1">
      <c r="A499" s="46">
        <v>21050</v>
      </c>
      <c r="B499" s="47"/>
      <c r="C499" s="48" t="s">
        <v>499</v>
      </c>
      <c r="D499" s="49"/>
      <c r="E499" s="50"/>
      <c r="F499" s="51" t="s">
        <v>20</v>
      </c>
      <c r="G499" s="52"/>
      <c r="H499" s="44">
        <v>11016</v>
      </c>
      <c r="I499" s="45"/>
      <c r="J499" s="44">
        <v>5000</v>
      </c>
      <c r="K499" s="45"/>
      <c r="L499" s="44">
        <v>6960</v>
      </c>
      <c r="M499" s="45"/>
      <c r="N499" s="44">
        <v>5000</v>
      </c>
      <c r="O499" s="45"/>
    </row>
    <row r="500" spans="1:15" ht="14.25" customHeight="1">
      <c r="A500" s="46">
        <v>41049</v>
      </c>
      <c r="B500" s="47"/>
      <c r="C500" s="48" t="s">
        <v>500</v>
      </c>
      <c r="D500" s="49"/>
      <c r="E500" s="50"/>
      <c r="F500" s="51" t="s">
        <v>11</v>
      </c>
      <c r="G500" s="52"/>
      <c r="H500" s="44">
        <v>5000</v>
      </c>
      <c r="I500" s="45"/>
      <c r="J500" s="44">
        <v>5000</v>
      </c>
      <c r="K500" s="45"/>
      <c r="L500" s="44">
        <v>5000</v>
      </c>
      <c r="M500" s="45"/>
      <c r="N500" s="44">
        <v>5000</v>
      </c>
      <c r="O500" s="45"/>
    </row>
    <row r="501" spans="1:15" ht="14.25" customHeight="1">
      <c r="A501" s="46">
        <v>81079</v>
      </c>
      <c r="B501" s="47"/>
      <c r="C501" s="48" t="s">
        <v>501</v>
      </c>
      <c r="D501" s="49"/>
      <c r="E501" s="50"/>
      <c r="F501" s="51" t="s">
        <v>23</v>
      </c>
      <c r="G501" s="52"/>
      <c r="H501" s="44">
        <v>5000</v>
      </c>
      <c r="I501" s="45"/>
      <c r="J501" s="44">
        <v>5000</v>
      </c>
      <c r="K501" s="45"/>
      <c r="L501" s="44">
        <v>5000</v>
      </c>
      <c r="M501" s="45"/>
      <c r="N501" s="44">
        <v>5000</v>
      </c>
      <c r="O501" s="45"/>
    </row>
    <row r="502" spans="1:15" ht="14.25" customHeight="1">
      <c r="A502" s="46">
        <v>91029</v>
      </c>
      <c r="B502" s="47"/>
      <c r="C502" s="48" t="s">
        <v>502</v>
      </c>
      <c r="D502" s="49"/>
      <c r="E502" s="50"/>
      <c r="F502" s="51" t="s">
        <v>28</v>
      </c>
      <c r="G502" s="52"/>
      <c r="H502" s="44">
        <v>5000</v>
      </c>
      <c r="I502" s="45"/>
      <c r="J502" s="44">
        <v>5000</v>
      </c>
      <c r="K502" s="45"/>
      <c r="L502" s="44">
        <v>5000</v>
      </c>
      <c r="M502" s="45"/>
      <c r="N502" s="44">
        <v>5000</v>
      </c>
      <c r="O502" s="45"/>
    </row>
    <row r="503" spans="1:15" ht="14.25" customHeight="1">
      <c r="A503" s="46">
        <v>21051</v>
      </c>
      <c r="B503" s="47"/>
      <c r="C503" s="48" t="s">
        <v>503</v>
      </c>
      <c r="D503" s="49"/>
      <c r="E503" s="50"/>
      <c r="F503" s="51" t="s">
        <v>20</v>
      </c>
      <c r="G503" s="52"/>
      <c r="H503" s="44">
        <v>5000</v>
      </c>
      <c r="I503" s="45"/>
      <c r="J503" s="44">
        <v>5000</v>
      </c>
      <c r="K503" s="45"/>
      <c r="L503" s="44">
        <v>6987</v>
      </c>
      <c r="M503" s="45"/>
      <c r="N503" s="44">
        <v>7333</v>
      </c>
      <c r="O503" s="45"/>
    </row>
    <row r="504" spans="1:15" ht="14.25" customHeight="1">
      <c r="A504" s="46">
        <v>21150</v>
      </c>
      <c r="B504" s="47"/>
      <c r="C504" s="48" t="s">
        <v>504</v>
      </c>
      <c r="D504" s="49"/>
      <c r="E504" s="50"/>
      <c r="F504" s="51" t="s">
        <v>20</v>
      </c>
      <c r="G504" s="52"/>
      <c r="H504" s="44">
        <v>10736</v>
      </c>
      <c r="I504" s="45"/>
      <c r="J504" s="44">
        <v>5000</v>
      </c>
      <c r="K504" s="45"/>
      <c r="L504" s="44">
        <v>5000</v>
      </c>
      <c r="M504" s="45"/>
      <c r="N504" s="44">
        <v>5000</v>
      </c>
      <c r="O504" s="45"/>
    </row>
    <row r="505" spans="1:15" ht="14.25" customHeight="1">
      <c r="A505" s="46">
        <v>31045</v>
      </c>
      <c r="B505" s="47"/>
      <c r="C505" s="48" t="s">
        <v>505</v>
      </c>
      <c r="D505" s="49"/>
      <c r="E505" s="50"/>
      <c r="F505" s="51" t="s">
        <v>58</v>
      </c>
      <c r="G505" s="52"/>
      <c r="H505" s="44">
        <v>8300</v>
      </c>
      <c r="I505" s="45"/>
      <c r="J505" s="44">
        <v>5000</v>
      </c>
      <c r="K505" s="45"/>
      <c r="L505" s="44">
        <v>6170</v>
      </c>
      <c r="M505" s="45"/>
      <c r="N505" s="44">
        <v>5000</v>
      </c>
      <c r="O505" s="45"/>
    </row>
    <row r="506" spans="1:15" ht="14.25" customHeight="1">
      <c r="A506" s="46">
        <v>11102</v>
      </c>
      <c r="B506" s="47"/>
      <c r="C506" s="48" t="s">
        <v>506</v>
      </c>
      <c r="D506" s="49"/>
      <c r="E506" s="50"/>
      <c r="F506" s="51" t="s">
        <v>16</v>
      </c>
      <c r="G506" s="52"/>
      <c r="H506" s="44">
        <v>5000</v>
      </c>
      <c r="I506" s="45"/>
      <c r="J506" s="44">
        <v>5000</v>
      </c>
      <c r="K506" s="45"/>
      <c r="L506" s="44">
        <v>5000</v>
      </c>
      <c r="M506" s="45"/>
      <c r="N506" s="44">
        <v>5000</v>
      </c>
      <c r="O506" s="45"/>
    </row>
    <row r="507" spans="1:15" ht="28.5" customHeight="1">
      <c r="A507" s="46">
        <v>11112</v>
      </c>
      <c r="B507" s="47"/>
      <c r="C507" s="53" t="s">
        <v>507</v>
      </c>
      <c r="D507" s="54"/>
      <c r="E507" s="55"/>
      <c r="F507" s="51" t="s">
        <v>16</v>
      </c>
      <c r="G507" s="52"/>
      <c r="H507" s="44">
        <v>5000</v>
      </c>
      <c r="I507" s="45"/>
      <c r="J507" s="44">
        <v>5000</v>
      </c>
      <c r="K507" s="45"/>
      <c r="L507" s="44">
        <v>5000</v>
      </c>
      <c r="M507" s="45"/>
      <c r="N507" s="44">
        <v>5000</v>
      </c>
      <c r="O507" s="45"/>
    </row>
    <row r="508" spans="1:15" ht="28.5" customHeight="1">
      <c r="A508" s="46">
        <v>41024</v>
      </c>
      <c r="B508" s="47"/>
      <c r="C508" s="53" t="s">
        <v>508</v>
      </c>
      <c r="D508" s="54"/>
      <c r="E508" s="55"/>
      <c r="F508" s="51" t="s">
        <v>11</v>
      </c>
      <c r="G508" s="52"/>
      <c r="H508" s="44">
        <v>9000</v>
      </c>
      <c r="I508" s="45"/>
      <c r="J508" s="44">
        <v>5000</v>
      </c>
      <c r="K508" s="45"/>
      <c r="L508" s="44">
        <v>5000</v>
      </c>
      <c r="M508" s="45"/>
      <c r="N508" s="44">
        <v>5000</v>
      </c>
      <c r="O508" s="45"/>
    </row>
    <row r="509" spans="1:15" ht="28.5" customHeight="1">
      <c r="A509" s="46">
        <v>41063</v>
      </c>
      <c r="B509" s="47"/>
      <c r="C509" s="53" t="s">
        <v>509</v>
      </c>
      <c r="D509" s="54"/>
      <c r="E509" s="55"/>
      <c r="F509" s="51" t="s">
        <v>11</v>
      </c>
      <c r="G509" s="52"/>
      <c r="H509" s="44">
        <v>9526</v>
      </c>
      <c r="I509" s="45"/>
      <c r="J509" s="44">
        <v>5000</v>
      </c>
      <c r="K509" s="45"/>
      <c r="L509" s="44">
        <v>5000</v>
      </c>
      <c r="M509" s="45"/>
      <c r="N509" s="44">
        <v>5000</v>
      </c>
      <c r="O509" s="45"/>
    </row>
    <row r="510" spans="1:15" ht="14.25" customHeight="1">
      <c r="A510" s="46">
        <v>61031</v>
      </c>
      <c r="B510" s="47"/>
      <c r="C510" s="48" t="s">
        <v>510</v>
      </c>
      <c r="D510" s="49"/>
      <c r="E510" s="50"/>
      <c r="F510" s="51" t="s">
        <v>25</v>
      </c>
      <c r="G510" s="52"/>
      <c r="H510" s="44">
        <v>8199</v>
      </c>
      <c r="I510" s="45"/>
      <c r="J510" s="44">
        <v>5000</v>
      </c>
      <c r="K510" s="45"/>
      <c r="L510" s="44">
        <v>7150</v>
      </c>
      <c r="M510" s="45"/>
      <c r="N510" s="44">
        <v>5000</v>
      </c>
      <c r="O510" s="45"/>
    </row>
    <row r="511" spans="1:15" ht="14.25" customHeight="1">
      <c r="A511" s="46">
        <v>41061</v>
      </c>
      <c r="B511" s="47"/>
      <c r="C511" s="48" t="s">
        <v>511</v>
      </c>
      <c r="D511" s="49"/>
      <c r="E511" s="50"/>
      <c r="F511" s="51" t="s">
        <v>11</v>
      </c>
      <c r="G511" s="52"/>
      <c r="H511" s="44">
        <v>5040</v>
      </c>
      <c r="I511" s="45"/>
      <c r="J511" s="44">
        <v>5000</v>
      </c>
      <c r="K511" s="45"/>
      <c r="L511" s="44">
        <v>5000</v>
      </c>
      <c r="M511" s="45"/>
      <c r="N511" s="44">
        <v>5000</v>
      </c>
      <c r="O511" s="45"/>
    </row>
    <row r="512" spans="1:15" ht="14.25" customHeight="1">
      <c r="A512" s="46">
        <v>71044</v>
      </c>
      <c r="B512" s="47"/>
      <c r="C512" s="48" t="s">
        <v>512</v>
      </c>
      <c r="D512" s="49"/>
      <c r="E512" s="50"/>
      <c r="F512" s="51" t="s">
        <v>18</v>
      </c>
      <c r="G512" s="52"/>
      <c r="H512" s="44">
        <v>8033</v>
      </c>
      <c r="I512" s="45"/>
      <c r="J512" s="44">
        <v>5000</v>
      </c>
      <c r="K512" s="45"/>
      <c r="L512" s="44">
        <v>5000</v>
      </c>
      <c r="M512" s="45"/>
      <c r="N512" s="44">
        <v>5000</v>
      </c>
      <c r="O512" s="45"/>
    </row>
    <row r="513" spans="1:15" ht="14.25" customHeight="1">
      <c r="A513" s="46">
        <v>81081</v>
      </c>
      <c r="B513" s="47"/>
      <c r="C513" s="48" t="s">
        <v>513</v>
      </c>
      <c r="D513" s="49"/>
      <c r="E513" s="50"/>
      <c r="F513" s="51" t="s">
        <v>23</v>
      </c>
      <c r="G513" s="52"/>
      <c r="H513" s="44">
        <v>5000</v>
      </c>
      <c r="I513" s="45"/>
      <c r="J513" s="44">
        <v>5000</v>
      </c>
      <c r="K513" s="45"/>
      <c r="L513" s="44">
        <v>5000</v>
      </c>
      <c r="M513" s="45"/>
      <c r="N513" s="44">
        <v>5333</v>
      </c>
      <c r="O513" s="45"/>
    </row>
    <row r="514" spans="1:15" ht="14.25" customHeight="1">
      <c r="A514" s="46">
        <v>11062</v>
      </c>
      <c r="B514" s="47"/>
      <c r="C514" s="48" t="s">
        <v>514</v>
      </c>
      <c r="D514" s="49"/>
      <c r="E514" s="50"/>
      <c r="F514" s="51" t="s">
        <v>16</v>
      </c>
      <c r="G514" s="52"/>
      <c r="H514" s="44">
        <v>9939</v>
      </c>
      <c r="I514" s="45"/>
      <c r="J514" s="44">
        <v>5344</v>
      </c>
      <c r="K514" s="45"/>
      <c r="L514" s="44">
        <v>7270</v>
      </c>
      <c r="M514" s="45"/>
      <c r="N514" s="44">
        <v>6333</v>
      </c>
      <c r="O514" s="45"/>
    </row>
    <row r="515" spans="1:15" ht="14.25" customHeight="1">
      <c r="A515" s="46">
        <v>91021</v>
      </c>
      <c r="B515" s="47"/>
      <c r="C515" s="48" t="s">
        <v>515</v>
      </c>
      <c r="D515" s="49"/>
      <c r="E515" s="50"/>
      <c r="F515" s="51" t="s">
        <v>28</v>
      </c>
      <c r="G515" s="52"/>
      <c r="H515" s="44">
        <v>5000</v>
      </c>
      <c r="I515" s="45"/>
      <c r="J515" s="44">
        <v>5000</v>
      </c>
      <c r="K515" s="45"/>
      <c r="L515" s="44">
        <v>5000</v>
      </c>
      <c r="M515" s="45"/>
      <c r="N515" s="44">
        <v>5000</v>
      </c>
      <c r="O515" s="45"/>
    </row>
    <row r="516" spans="1:15" ht="14.25" customHeight="1">
      <c r="A516" s="46">
        <v>11044</v>
      </c>
      <c r="B516" s="47"/>
      <c r="C516" s="48" t="s">
        <v>516</v>
      </c>
      <c r="D516" s="49"/>
      <c r="E516" s="50"/>
      <c r="F516" s="51" t="s">
        <v>16</v>
      </c>
      <c r="G516" s="52"/>
      <c r="H516" s="44">
        <v>12411</v>
      </c>
      <c r="I516" s="45"/>
      <c r="J516" s="44">
        <v>6532</v>
      </c>
      <c r="K516" s="45"/>
      <c r="L516" s="44">
        <v>8995</v>
      </c>
      <c r="M516" s="45"/>
      <c r="N516" s="44">
        <v>5000</v>
      </c>
      <c r="O516" s="45"/>
    </row>
    <row r="517" spans="1:15" ht="14.25" customHeight="1">
      <c r="A517" s="46">
        <v>91061</v>
      </c>
      <c r="B517" s="47"/>
      <c r="C517" s="48" t="s">
        <v>517</v>
      </c>
      <c r="D517" s="49"/>
      <c r="E517" s="50"/>
      <c r="F517" s="51" t="s">
        <v>28</v>
      </c>
      <c r="G517" s="52"/>
      <c r="H517" s="44">
        <v>11074</v>
      </c>
      <c r="I517" s="45"/>
      <c r="J517" s="44">
        <v>5000</v>
      </c>
      <c r="K517" s="45"/>
      <c r="L517" s="44">
        <v>8370</v>
      </c>
      <c r="M517" s="45"/>
      <c r="N517" s="44">
        <v>5000</v>
      </c>
      <c r="O517" s="45"/>
    </row>
    <row r="518" spans="1:15" ht="14.25" customHeight="1">
      <c r="A518" s="46">
        <v>31105</v>
      </c>
      <c r="B518" s="47"/>
      <c r="C518" s="48" t="s">
        <v>518</v>
      </c>
      <c r="D518" s="49"/>
      <c r="E518" s="50"/>
      <c r="F518" s="51" t="s">
        <v>58</v>
      </c>
      <c r="G518" s="52"/>
      <c r="H518" s="44">
        <v>8388</v>
      </c>
      <c r="I518" s="45"/>
      <c r="J518" s="44">
        <v>5000</v>
      </c>
      <c r="K518" s="45"/>
      <c r="L518" s="44">
        <v>5000</v>
      </c>
      <c r="M518" s="45"/>
      <c r="N518" s="44">
        <v>5000</v>
      </c>
      <c r="O518" s="45"/>
    </row>
    <row r="519" spans="1:15" ht="14.25" customHeight="1">
      <c r="A519" s="46">
        <v>31098</v>
      </c>
      <c r="B519" s="47"/>
      <c r="C519" s="48" t="s">
        <v>519</v>
      </c>
      <c r="D519" s="49"/>
      <c r="E519" s="50"/>
      <c r="F519" s="51" t="s">
        <v>58</v>
      </c>
      <c r="G519" s="52"/>
      <c r="H519" s="44">
        <v>7916</v>
      </c>
      <c r="I519" s="45"/>
      <c r="J519" s="44">
        <v>5000</v>
      </c>
      <c r="K519" s="45"/>
      <c r="L519" s="44">
        <v>6430</v>
      </c>
      <c r="M519" s="45"/>
      <c r="N519" s="44">
        <v>5000</v>
      </c>
      <c r="O519" s="45"/>
    </row>
    <row r="520" spans="1:15" ht="14.25" customHeight="1">
      <c r="A520" s="46">
        <v>11045</v>
      </c>
      <c r="B520" s="47"/>
      <c r="C520" s="48" t="s">
        <v>520</v>
      </c>
      <c r="D520" s="49"/>
      <c r="E520" s="50"/>
      <c r="F520" s="51" t="s">
        <v>16</v>
      </c>
      <c r="G520" s="52"/>
      <c r="H520" s="44">
        <v>8213</v>
      </c>
      <c r="I520" s="45"/>
      <c r="J520" s="44">
        <v>5000</v>
      </c>
      <c r="K520" s="45"/>
      <c r="L520" s="44">
        <v>5000</v>
      </c>
      <c r="M520" s="45"/>
      <c r="N520" s="44">
        <v>5000</v>
      </c>
      <c r="O520" s="45"/>
    </row>
    <row r="521" spans="1:15" ht="14.25" customHeight="1">
      <c r="A521" s="46">
        <v>21052</v>
      </c>
      <c r="B521" s="47"/>
      <c r="C521" s="48" t="s">
        <v>521</v>
      </c>
      <c r="D521" s="49"/>
      <c r="E521" s="50"/>
      <c r="F521" s="51" t="s">
        <v>20</v>
      </c>
      <c r="G521" s="52"/>
      <c r="H521" s="44">
        <v>8702</v>
      </c>
      <c r="I521" s="45"/>
      <c r="J521" s="44">
        <v>5000</v>
      </c>
      <c r="K521" s="45"/>
      <c r="L521" s="44">
        <v>5000</v>
      </c>
      <c r="M521" s="45"/>
      <c r="N521" s="44">
        <v>5000</v>
      </c>
      <c r="O521" s="45"/>
    </row>
    <row r="522" spans="1:15" ht="14.25" customHeight="1">
      <c r="A522" s="46">
        <v>81043</v>
      </c>
      <c r="B522" s="47"/>
      <c r="C522" s="48" t="s">
        <v>522</v>
      </c>
      <c r="D522" s="49"/>
      <c r="E522" s="50"/>
      <c r="F522" s="51" t="s">
        <v>23</v>
      </c>
      <c r="G522" s="52"/>
      <c r="H522" s="44">
        <v>7978</v>
      </c>
      <c r="I522" s="45"/>
      <c r="J522" s="44">
        <v>5250</v>
      </c>
      <c r="K522" s="45"/>
      <c r="L522" s="44">
        <v>5000</v>
      </c>
      <c r="M522" s="45"/>
      <c r="N522" s="44">
        <v>7833</v>
      </c>
      <c r="O522" s="45"/>
    </row>
    <row r="523" spans="1:15" ht="14.25" customHeight="1">
      <c r="A523" s="46">
        <v>71020</v>
      </c>
      <c r="B523" s="47"/>
      <c r="C523" s="48" t="s">
        <v>523</v>
      </c>
      <c r="D523" s="49"/>
      <c r="E523" s="50"/>
      <c r="F523" s="51" t="s">
        <v>18</v>
      </c>
      <c r="G523" s="52"/>
      <c r="H523" s="44">
        <v>8355</v>
      </c>
      <c r="I523" s="45"/>
      <c r="J523" s="44">
        <v>5313</v>
      </c>
      <c r="K523" s="45"/>
      <c r="L523" s="44">
        <v>6690</v>
      </c>
      <c r="M523" s="45"/>
      <c r="N523" s="44">
        <v>5000</v>
      </c>
      <c r="O523" s="45"/>
    </row>
    <row r="524" spans="1:15" ht="14.25" customHeight="1">
      <c r="A524" s="46">
        <v>41025</v>
      </c>
      <c r="B524" s="47"/>
      <c r="C524" s="48" t="s">
        <v>524</v>
      </c>
      <c r="D524" s="49"/>
      <c r="E524" s="50"/>
      <c r="F524" s="51" t="s">
        <v>11</v>
      </c>
      <c r="G524" s="52"/>
      <c r="H524" s="44">
        <v>10426</v>
      </c>
      <c r="I524" s="45"/>
      <c r="J524" s="44">
        <v>6063</v>
      </c>
      <c r="K524" s="45"/>
      <c r="L524" s="44">
        <v>5000</v>
      </c>
      <c r="M524" s="45"/>
      <c r="N524" s="44">
        <v>7667</v>
      </c>
      <c r="O524" s="45"/>
    </row>
    <row r="525" spans="1:15" ht="14.25" customHeight="1">
      <c r="A525" s="46">
        <v>21096</v>
      </c>
      <c r="B525" s="47"/>
      <c r="C525" s="48" t="s">
        <v>525</v>
      </c>
      <c r="D525" s="49"/>
      <c r="E525" s="50"/>
      <c r="F525" s="51" t="s">
        <v>20</v>
      </c>
      <c r="G525" s="52"/>
      <c r="H525" s="44">
        <v>9360</v>
      </c>
      <c r="I525" s="45"/>
      <c r="J525" s="44">
        <v>5000</v>
      </c>
      <c r="K525" s="45"/>
      <c r="L525" s="44">
        <v>5000</v>
      </c>
      <c r="M525" s="45"/>
      <c r="N525" s="44">
        <v>5000</v>
      </c>
      <c r="O525" s="45"/>
    </row>
    <row r="526" spans="1:15" ht="14.25" customHeight="1">
      <c r="A526" s="46">
        <v>71021</v>
      </c>
      <c r="B526" s="47"/>
      <c r="C526" s="48" t="s">
        <v>526</v>
      </c>
      <c r="D526" s="49"/>
      <c r="E526" s="50"/>
      <c r="F526" s="51" t="s">
        <v>18</v>
      </c>
      <c r="G526" s="52"/>
      <c r="H526" s="44">
        <v>8806</v>
      </c>
      <c r="I526" s="45"/>
      <c r="J526" s="44">
        <v>5000</v>
      </c>
      <c r="K526" s="45"/>
      <c r="L526" s="44">
        <v>5000</v>
      </c>
      <c r="M526" s="45"/>
      <c r="N526" s="44">
        <v>5000</v>
      </c>
      <c r="O526" s="45"/>
    </row>
    <row r="527" spans="1:15" ht="29" customHeight="1">
      <c r="A527" s="88" t="s">
        <v>3</v>
      </c>
      <c r="B527" s="88"/>
      <c r="C527" s="89" t="s">
        <v>4</v>
      </c>
      <c r="D527" s="89"/>
      <c r="E527" s="89"/>
      <c r="F527" s="88" t="s">
        <v>5</v>
      </c>
      <c r="G527" s="88"/>
      <c r="H527" s="90" t="s">
        <v>6</v>
      </c>
      <c r="I527" s="90"/>
      <c r="J527" s="88" t="s">
        <v>7</v>
      </c>
      <c r="K527" s="88"/>
      <c r="L527" s="88" t="s">
        <v>8</v>
      </c>
      <c r="M527" s="88"/>
      <c r="N527" s="88" t="s">
        <v>9</v>
      </c>
      <c r="O527" s="88"/>
    </row>
    <row r="528" spans="1:15" ht="14.25" customHeight="1">
      <c r="A528" s="46">
        <v>91014</v>
      </c>
      <c r="B528" s="47"/>
      <c r="C528" s="48" t="s">
        <v>527</v>
      </c>
      <c r="D528" s="49"/>
      <c r="E528" s="50"/>
      <c r="F528" s="51" t="s">
        <v>28</v>
      </c>
      <c r="G528" s="52"/>
      <c r="H528" s="44">
        <v>5000</v>
      </c>
      <c r="I528" s="45"/>
      <c r="J528" s="44">
        <v>5000</v>
      </c>
      <c r="K528" s="45"/>
      <c r="L528" s="44">
        <v>5000</v>
      </c>
      <c r="M528" s="45"/>
      <c r="N528" s="44">
        <v>5000</v>
      </c>
      <c r="O528" s="45"/>
    </row>
    <row r="529" spans="1:15" ht="14.25" customHeight="1">
      <c r="A529" s="46">
        <v>71045</v>
      </c>
      <c r="B529" s="47"/>
      <c r="C529" s="48" t="s">
        <v>528</v>
      </c>
      <c r="D529" s="49"/>
      <c r="E529" s="50"/>
      <c r="F529" s="51" t="s">
        <v>18</v>
      </c>
      <c r="G529" s="52"/>
      <c r="H529" s="44">
        <v>8564</v>
      </c>
      <c r="I529" s="45"/>
      <c r="J529" s="44">
        <v>5000</v>
      </c>
      <c r="K529" s="45"/>
      <c r="L529" s="44">
        <v>6500</v>
      </c>
      <c r="M529" s="45"/>
      <c r="N529" s="44">
        <v>5000</v>
      </c>
      <c r="O529" s="45"/>
    </row>
    <row r="530" spans="1:15" ht="14.25" customHeight="1">
      <c r="A530" s="46">
        <v>11046</v>
      </c>
      <c r="B530" s="47"/>
      <c r="C530" s="48" t="s">
        <v>529</v>
      </c>
      <c r="D530" s="49"/>
      <c r="E530" s="50"/>
      <c r="F530" s="51" t="s">
        <v>16</v>
      </c>
      <c r="G530" s="52"/>
      <c r="H530" s="44">
        <v>8872</v>
      </c>
      <c r="I530" s="45"/>
      <c r="J530" s="44">
        <v>5813</v>
      </c>
      <c r="K530" s="45"/>
      <c r="L530" s="44">
        <v>6830</v>
      </c>
      <c r="M530" s="45"/>
      <c r="N530" s="44">
        <v>6500</v>
      </c>
      <c r="O530" s="45"/>
    </row>
    <row r="531" spans="1:15" ht="14.25" customHeight="1">
      <c r="A531" s="46">
        <v>91045</v>
      </c>
      <c r="B531" s="47"/>
      <c r="C531" s="48" t="s">
        <v>530</v>
      </c>
      <c r="D531" s="49"/>
      <c r="E531" s="50"/>
      <c r="F531" s="51" t="s">
        <v>28</v>
      </c>
      <c r="G531" s="52"/>
      <c r="H531" s="44">
        <v>5000</v>
      </c>
      <c r="I531" s="45"/>
      <c r="J531" s="44">
        <v>5000</v>
      </c>
      <c r="K531" s="45"/>
      <c r="L531" s="44">
        <v>5000</v>
      </c>
      <c r="M531" s="45"/>
      <c r="N531" s="44">
        <v>7000</v>
      </c>
      <c r="O531" s="45"/>
    </row>
    <row r="532" spans="1:15" ht="14.25" customHeight="1">
      <c r="A532" s="46">
        <v>21054</v>
      </c>
      <c r="B532" s="47"/>
      <c r="C532" s="48" t="s">
        <v>531</v>
      </c>
      <c r="D532" s="49"/>
      <c r="E532" s="50"/>
      <c r="F532" s="51" t="s">
        <v>20</v>
      </c>
      <c r="G532" s="52"/>
      <c r="H532" s="44">
        <v>5000</v>
      </c>
      <c r="I532" s="45"/>
      <c r="J532" s="44">
        <v>5000</v>
      </c>
      <c r="K532" s="45"/>
      <c r="L532" s="44">
        <v>5000</v>
      </c>
      <c r="M532" s="45"/>
      <c r="N532" s="44">
        <v>5500</v>
      </c>
      <c r="O532" s="45"/>
    </row>
    <row r="533" spans="1:15" ht="14.25" customHeight="1">
      <c r="A533" s="46">
        <v>21113</v>
      </c>
      <c r="B533" s="47"/>
      <c r="C533" s="48" t="s">
        <v>532</v>
      </c>
      <c r="D533" s="49"/>
      <c r="E533" s="50"/>
      <c r="F533" s="51" t="s">
        <v>20</v>
      </c>
      <c r="G533" s="52"/>
      <c r="H533" s="44">
        <v>5000</v>
      </c>
      <c r="I533" s="45"/>
      <c r="J533" s="44">
        <v>5000</v>
      </c>
      <c r="K533" s="45"/>
      <c r="L533" s="44">
        <v>5000</v>
      </c>
      <c r="M533" s="45"/>
      <c r="N533" s="44">
        <v>5000</v>
      </c>
      <c r="O533" s="45"/>
    </row>
    <row r="534" spans="1:15" ht="14.25" customHeight="1">
      <c r="A534" s="46">
        <v>11111</v>
      </c>
      <c r="B534" s="47"/>
      <c r="C534" s="48" t="s">
        <v>533</v>
      </c>
      <c r="D534" s="49"/>
      <c r="E534" s="50"/>
      <c r="F534" s="51" t="s">
        <v>16</v>
      </c>
      <c r="G534" s="52"/>
      <c r="H534" s="44">
        <v>5000</v>
      </c>
      <c r="I534" s="45"/>
      <c r="J534" s="44">
        <v>5000</v>
      </c>
      <c r="K534" s="45"/>
      <c r="L534" s="44">
        <v>5000</v>
      </c>
      <c r="M534" s="45"/>
      <c r="N534" s="44">
        <v>5000</v>
      </c>
      <c r="O534" s="45"/>
    </row>
    <row r="535" spans="1:15" ht="14.25" customHeight="1">
      <c r="A535" s="46">
        <v>11047</v>
      </c>
      <c r="B535" s="47"/>
      <c r="C535" s="48" t="s">
        <v>534</v>
      </c>
      <c r="D535" s="49"/>
      <c r="E535" s="50"/>
      <c r="F535" s="51" t="s">
        <v>16</v>
      </c>
      <c r="G535" s="52"/>
      <c r="H535" s="44">
        <v>9892</v>
      </c>
      <c r="I535" s="45"/>
      <c r="J535" s="44">
        <v>6250</v>
      </c>
      <c r="K535" s="45"/>
      <c r="L535" s="44">
        <v>8100</v>
      </c>
      <c r="M535" s="45"/>
      <c r="N535" s="44">
        <v>6667</v>
      </c>
      <c r="O535" s="45"/>
    </row>
    <row r="536" spans="1:15" ht="14.25" customHeight="1">
      <c r="A536" s="46">
        <v>21081</v>
      </c>
      <c r="B536" s="47"/>
      <c r="C536" s="48" t="s">
        <v>535</v>
      </c>
      <c r="D536" s="49"/>
      <c r="E536" s="50"/>
      <c r="F536" s="51" t="s">
        <v>20</v>
      </c>
      <c r="G536" s="52"/>
      <c r="H536" s="44">
        <v>9840</v>
      </c>
      <c r="I536" s="45"/>
      <c r="J536" s="44">
        <v>6063</v>
      </c>
      <c r="K536" s="45"/>
      <c r="L536" s="44">
        <v>7640</v>
      </c>
      <c r="M536" s="45"/>
      <c r="N536" s="44">
        <v>5000</v>
      </c>
      <c r="O536" s="45"/>
    </row>
    <row r="537" spans="1:15" ht="14.25" customHeight="1">
      <c r="A537" s="46">
        <v>81033</v>
      </c>
      <c r="B537" s="47"/>
      <c r="C537" s="48" t="s">
        <v>536</v>
      </c>
      <c r="D537" s="49"/>
      <c r="E537" s="50"/>
      <c r="F537" s="51" t="s">
        <v>23</v>
      </c>
      <c r="G537" s="52"/>
      <c r="H537" s="44">
        <v>9710</v>
      </c>
      <c r="I537" s="45"/>
      <c r="J537" s="44">
        <v>6625</v>
      </c>
      <c r="K537" s="45"/>
      <c r="L537" s="44">
        <v>7910</v>
      </c>
      <c r="M537" s="45"/>
      <c r="N537" s="44">
        <v>8000</v>
      </c>
      <c r="O537" s="45"/>
    </row>
    <row r="538" spans="1:15" ht="14.25" customHeight="1">
      <c r="A538" s="46">
        <v>61020</v>
      </c>
      <c r="B538" s="47"/>
      <c r="C538" s="48" t="s">
        <v>537</v>
      </c>
      <c r="D538" s="49"/>
      <c r="E538" s="50"/>
      <c r="F538" s="51" t="s">
        <v>25</v>
      </c>
      <c r="G538" s="52"/>
      <c r="H538" s="44">
        <v>9762</v>
      </c>
      <c r="I538" s="45"/>
      <c r="J538" s="44">
        <v>5000</v>
      </c>
      <c r="K538" s="45"/>
      <c r="L538" s="44">
        <v>7860</v>
      </c>
      <c r="M538" s="45"/>
      <c r="N538" s="44">
        <v>6000</v>
      </c>
      <c r="O538" s="45"/>
    </row>
    <row r="539" spans="1:15" ht="14.25" customHeight="1">
      <c r="A539" s="46">
        <v>71022</v>
      </c>
      <c r="B539" s="47"/>
      <c r="C539" s="48" t="s">
        <v>538</v>
      </c>
      <c r="D539" s="49"/>
      <c r="E539" s="50"/>
      <c r="F539" s="51" t="s">
        <v>18</v>
      </c>
      <c r="G539" s="52"/>
      <c r="H539" s="44">
        <v>9540</v>
      </c>
      <c r="I539" s="45"/>
      <c r="J539" s="44">
        <v>5625</v>
      </c>
      <c r="K539" s="45"/>
      <c r="L539" s="44">
        <v>7540</v>
      </c>
      <c r="M539" s="45"/>
      <c r="N539" s="44">
        <v>6333</v>
      </c>
      <c r="O539" s="45"/>
    </row>
    <row r="540" spans="1:15" ht="14.25" customHeight="1">
      <c r="A540" s="46">
        <v>91022</v>
      </c>
      <c r="B540" s="47"/>
      <c r="C540" s="48" t="s">
        <v>539</v>
      </c>
      <c r="D540" s="49"/>
      <c r="E540" s="50"/>
      <c r="F540" s="51" t="s">
        <v>28</v>
      </c>
      <c r="G540" s="52"/>
      <c r="H540" s="44">
        <v>7948</v>
      </c>
      <c r="I540" s="45"/>
      <c r="J540" s="44">
        <v>5000</v>
      </c>
      <c r="K540" s="45"/>
      <c r="L540" s="44">
        <v>5000</v>
      </c>
      <c r="M540" s="45"/>
      <c r="N540" s="44">
        <v>5000</v>
      </c>
      <c r="O540" s="45"/>
    </row>
    <row r="541" spans="1:15" ht="14.25" customHeight="1">
      <c r="A541" s="46">
        <v>41004</v>
      </c>
      <c r="B541" s="47"/>
      <c r="C541" s="48" t="s">
        <v>540</v>
      </c>
      <c r="D541" s="49"/>
      <c r="E541" s="50"/>
      <c r="F541" s="51" t="s">
        <v>11</v>
      </c>
      <c r="G541" s="52"/>
      <c r="H541" s="44">
        <v>11430</v>
      </c>
      <c r="I541" s="45"/>
      <c r="J541" s="44">
        <v>5000</v>
      </c>
      <c r="K541" s="45"/>
      <c r="L541" s="44">
        <v>5000</v>
      </c>
      <c r="M541" s="45"/>
      <c r="N541" s="44">
        <v>5667</v>
      </c>
      <c r="O541" s="45"/>
    </row>
    <row r="542" spans="1:15" ht="14.25" customHeight="1">
      <c r="A542" s="46">
        <v>21097</v>
      </c>
      <c r="B542" s="47"/>
      <c r="C542" s="48" t="s">
        <v>541</v>
      </c>
      <c r="D542" s="49"/>
      <c r="E542" s="50"/>
      <c r="F542" s="51" t="s">
        <v>20</v>
      </c>
      <c r="G542" s="52"/>
      <c r="H542" s="44">
        <v>10892</v>
      </c>
      <c r="I542" s="45"/>
      <c r="J542" s="44">
        <v>5000</v>
      </c>
      <c r="K542" s="45"/>
      <c r="L542" s="44">
        <v>5000</v>
      </c>
      <c r="M542" s="45"/>
      <c r="N542" s="44">
        <v>5000</v>
      </c>
      <c r="O542" s="45"/>
    </row>
    <row r="543" spans="1:15" ht="14.25" customHeight="1">
      <c r="A543" s="46">
        <v>81002</v>
      </c>
      <c r="B543" s="47"/>
      <c r="C543" s="48" t="s">
        <v>542</v>
      </c>
      <c r="D543" s="49"/>
      <c r="E543" s="50"/>
      <c r="F543" s="51" t="s">
        <v>23</v>
      </c>
      <c r="G543" s="52"/>
      <c r="H543" s="44">
        <v>9480</v>
      </c>
      <c r="I543" s="45"/>
      <c r="J543" s="44">
        <v>5000</v>
      </c>
      <c r="K543" s="45"/>
      <c r="L543" s="44">
        <v>5000</v>
      </c>
      <c r="M543" s="45"/>
      <c r="N543" s="44">
        <v>5000</v>
      </c>
      <c r="O543" s="45"/>
    </row>
    <row r="544" spans="1:15" ht="14.25" customHeight="1">
      <c r="A544" s="46">
        <v>71023</v>
      </c>
      <c r="B544" s="47"/>
      <c r="C544" s="48" t="s">
        <v>543</v>
      </c>
      <c r="D544" s="49"/>
      <c r="E544" s="50"/>
      <c r="F544" s="51" t="s">
        <v>18</v>
      </c>
      <c r="G544" s="52"/>
      <c r="H544" s="44">
        <v>9690</v>
      </c>
      <c r="I544" s="45"/>
      <c r="J544" s="44">
        <v>5000</v>
      </c>
      <c r="K544" s="45"/>
      <c r="L544" s="44">
        <v>5000</v>
      </c>
      <c r="M544" s="45"/>
      <c r="N544" s="44">
        <v>5000</v>
      </c>
      <c r="O544" s="45"/>
    </row>
    <row r="545" spans="1:15" ht="14.25" customHeight="1">
      <c r="A545" s="46">
        <v>91015</v>
      </c>
      <c r="B545" s="47"/>
      <c r="C545" s="48" t="s">
        <v>544</v>
      </c>
      <c r="D545" s="49"/>
      <c r="E545" s="50"/>
      <c r="F545" s="51" t="s">
        <v>28</v>
      </c>
      <c r="G545" s="52"/>
      <c r="H545" s="44">
        <v>5000</v>
      </c>
      <c r="I545" s="45"/>
      <c r="J545" s="44">
        <v>5000</v>
      </c>
      <c r="K545" s="45"/>
      <c r="L545" s="44">
        <v>5000</v>
      </c>
      <c r="M545" s="45"/>
      <c r="N545" s="44">
        <v>5000</v>
      </c>
      <c r="O545" s="45"/>
    </row>
    <row r="546" spans="1:15" ht="14.25" customHeight="1">
      <c r="A546" s="46">
        <v>11093</v>
      </c>
      <c r="B546" s="47"/>
      <c r="C546" s="48" t="s">
        <v>545</v>
      </c>
      <c r="D546" s="49"/>
      <c r="E546" s="50"/>
      <c r="F546" s="51" t="s">
        <v>16</v>
      </c>
      <c r="G546" s="52"/>
      <c r="H546" s="44">
        <v>8404</v>
      </c>
      <c r="I546" s="45"/>
      <c r="J546" s="44">
        <v>5000</v>
      </c>
      <c r="K546" s="45"/>
      <c r="L546" s="44">
        <v>5000</v>
      </c>
      <c r="M546" s="45"/>
      <c r="N546" s="44">
        <v>5000</v>
      </c>
      <c r="O546" s="45"/>
    </row>
    <row r="547" spans="1:15" ht="14.25" customHeight="1">
      <c r="A547" s="46">
        <v>11049</v>
      </c>
      <c r="B547" s="47"/>
      <c r="C547" s="48" t="s">
        <v>546</v>
      </c>
      <c r="D547" s="49"/>
      <c r="E547" s="50"/>
      <c r="F547" s="51" t="s">
        <v>16</v>
      </c>
      <c r="G547" s="52"/>
      <c r="H547" s="44">
        <v>10028</v>
      </c>
      <c r="I547" s="45"/>
      <c r="J547" s="44">
        <v>5000</v>
      </c>
      <c r="K547" s="45"/>
      <c r="L547" s="44">
        <v>5000</v>
      </c>
      <c r="M547" s="45"/>
      <c r="N547" s="44">
        <v>5000</v>
      </c>
      <c r="O547" s="45"/>
    </row>
    <row r="548" spans="1:15" ht="14.25" customHeight="1">
      <c r="A548" s="46">
        <v>21082</v>
      </c>
      <c r="B548" s="47"/>
      <c r="C548" s="48" t="s">
        <v>547</v>
      </c>
      <c r="D548" s="49"/>
      <c r="E548" s="50"/>
      <c r="F548" s="51" t="s">
        <v>20</v>
      </c>
      <c r="G548" s="52"/>
      <c r="H548" s="44">
        <v>9804</v>
      </c>
      <c r="I548" s="45"/>
      <c r="J548" s="44">
        <v>5000</v>
      </c>
      <c r="K548" s="45"/>
      <c r="L548" s="44">
        <v>5000</v>
      </c>
      <c r="M548" s="45"/>
      <c r="N548" s="44">
        <v>5000</v>
      </c>
      <c r="O548" s="45"/>
    </row>
    <row r="549" spans="1:15" ht="14.25" customHeight="1">
      <c r="A549" s="46">
        <v>81034</v>
      </c>
      <c r="B549" s="47"/>
      <c r="C549" s="48" t="s">
        <v>548</v>
      </c>
      <c r="D549" s="49"/>
      <c r="E549" s="50"/>
      <c r="F549" s="51" t="s">
        <v>23</v>
      </c>
      <c r="G549" s="52"/>
      <c r="H549" s="44">
        <v>8512</v>
      </c>
      <c r="I549" s="45"/>
      <c r="J549" s="44">
        <v>5000</v>
      </c>
      <c r="K549" s="45"/>
      <c r="L549" s="44">
        <v>5000</v>
      </c>
      <c r="M549" s="45"/>
      <c r="N549" s="44">
        <v>5000</v>
      </c>
      <c r="O549" s="45"/>
    </row>
    <row r="550" spans="1:15" ht="14.25" customHeight="1">
      <c r="A550" s="46">
        <v>71024</v>
      </c>
      <c r="B550" s="47"/>
      <c r="C550" s="48" t="s">
        <v>549</v>
      </c>
      <c r="D550" s="49"/>
      <c r="E550" s="50"/>
      <c r="F550" s="51" t="s">
        <v>18</v>
      </c>
      <c r="G550" s="52"/>
      <c r="H550" s="44">
        <v>9342</v>
      </c>
      <c r="I550" s="45"/>
      <c r="J550" s="44">
        <v>5000</v>
      </c>
      <c r="K550" s="45"/>
      <c r="L550" s="44">
        <v>5000</v>
      </c>
      <c r="M550" s="45"/>
      <c r="N550" s="44">
        <v>5000</v>
      </c>
      <c r="O550" s="45"/>
    </row>
    <row r="551" spans="1:15" ht="14.25" customHeight="1">
      <c r="A551" s="46">
        <v>71066</v>
      </c>
      <c r="B551" s="47"/>
      <c r="C551" s="48" t="s">
        <v>550</v>
      </c>
      <c r="D551" s="49"/>
      <c r="E551" s="50"/>
      <c r="F551" s="51" t="s">
        <v>18</v>
      </c>
      <c r="G551" s="52"/>
      <c r="H551" s="44">
        <v>8370</v>
      </c>
      <c r="I551" s="45"/>
      <c r="J551" s="44">
        <v>5000</v>
      </c>
      <c r="K551" s="45"/>
      <c r="L551" s="44">
        <v>5000</v>
      </c>
      <c r="M551" s="45"/>
      <c r="N551" s="44">
        <v>5000</v>
      </c>
      <c r="O551" s="45"/>
    </row>
    <row r="552" spans="1:15" ht="14.25" customHeight="1">
      <c r="A552" s="46">
        <v>21123</v>
      </c>
      <c r="B552" s="47"/>
      <c r="C552" s="48" t="s">
        <v>551</v>
      </c>
      <c r="D552" s="49"/>
      <c r="E552" s="50"/>
      <c r="F552" s="51" t="s">
        <v>20</v>
      </c>
      <c r="G552" s="52"/>
      <c r="H552" s="44">
        <v>11570</v>
      </c>
      <c r="I552" s="45"/>
      <c r="J552" s="44">
        <v>5000</v>
      </c>
      <c r="K552" s="45"/>
      <c r="L552" s="44">
        <v>5000</v>
      </c>
      <c r="M552" s="45"/>
      <c r="N552" s="44">
        <v>5000</v>
      </c>
      <c r="O552" s="45"/>
    </row>
    <row r="553" spans="1:15" ht="14.25" customHeight="1">
      <c r="A553" s="46">
        <v>41026</v>
      </c>
      <c r="B553" s="47"/>
      <c r="C553" s="48" t="s">
        <v>552</v>
      </c>
      <c r="D553" s="49"/>
      <c r="E553" s="50"/>
      <c r="F553" s="51" t="s">
        <v>11</v>
      </c>
      <c r="G553" s="52"/>
      <c r="H553" s="44">
        <v>7968</v>
      </c>
      <c r="I553" s="45"/>
      <c r="J553" s="44">
        <v>5000</v>
      </c>
      <c r="K553" s="45"/>
      <c r="L553" s="44">
        <v>5000</v>
      </c>
      <c r="M553" s="45"/>
      <c r="N553" s="44">
        <v>5000</v>
      </c>
      <c r="O553" s="45"/>
    </row>
    <row r="554" spans="1:15" ht="14.25" customHeight="1">
      <c r="A554" s="46">
        <v>21055</v>
      </c>
      <c r="B554" s="47"/>
      <c r="C554" s="48" t="s">
        <v>553</v>
      </c>
      <c r="D554" s="49"/>
      <c r="E554" s="50"/>
      <c r="F554" s="51" t="s">
        <v>20</v>
      </c>
      <c r="G554" s="52"/>
      <c r="H554" s="44">
        <v>8492</v>
      </c>
      <c r="I554" s="45"/>
      <c r="J554" s="44">
        <v>5000</v>
      </c>
      <c r="K554" s="45"/>
      <c r="L554" s="44">
        <v>5000</v>
      </c>
      <c r="M554" s="45"/>
      <c r="N554" s="44">
        <v>5833</v>
      </c>
      <c r="O554" s="45"/>
    </row>
    <row r="555" spans="1:15" ht="14.25" customHeight="1">
      <c r="A555" s="46">
        <v>11116</v>
      </c>
      <c r="B555" s="47"/>
      <c r="C555" s="48" t="s">
        <v>554</v>
      </c>
      <c r="D555" s="49"/>
      <c r="E555" s="4" t="s">
        <v>288</v>
      </c>
      <c r="F555" s="51" t="s">
        <v>16</v>
      </c>
      <c r="G555" s="52"/>
      <c r="H555" s="44">
        <v>8176</v>
      </c>
      <c r="I555" s="45"/>
      <c r="J555" s="44">
        <v>5000</v>
      </c>
      <c r="K555" s="45"/>
      <c r="L555" s="44">
        <v>5000</v>
      </c>
      <c r="M555" s="45"/>
      <c r="N555" s="44">
        <v>5000</v>
      </c>
      <c r="O555" s="45"/>
    </row>
    <row r="556" spans="1:15" ht="14.25" customHeight="1">
      <c r="A556" s="46">
        <v>61033</v>
      </c>
      <c r="B556" s="47"/>
      <c r="C556" s="48" t="s">
        <v>555</v>
      </c>
      <c r="D556" s="49"/>
      <c r="E556" s="50"/>
      <c r="F556" s="51" t="s">
        <v>25</v>
      </c>
      <c r="G556" s="52"/>
      <c r="H556" s="44">
        <v>5000</v>
      </c>
      <c r="I556" s="45"/>
      <c r="J556" s="44">
        <v>5000</v>
      </c>
      <c r="K556" s="45"/>
      <c r="L556" s="44">
        <v>5000</v>
      </c>
      <c r="M556" s="45"/>
      <c r="N556" s="44">
        <v>5000</v>
      </c>
      <c r="O556" s="45"/>
    </row>
    <row r="557" spans="1:15" ht="14.25" customHeight="1">
      <c r="A557" s="46">
        <v>71082</v>
      </c>
      <c r="B557" s="47"/>
      <c r="C557" s="48" t="s">
        <v>556</v>
      </c>
      <c r="D557" s="49"/>
      <c r="E557" s="50"/>
      <c r="F557" s="51" t="s">
        <v>18</v>
      </c>
      <c r="G557" s="52"/>
      <c r="H557" s="44">
        <v>7492</v>
      </c>
      <c r="I557" s="45"/>
      <c r="J557" s="44">
        <v>5000</v>
      </c>
      <c r="K557" s="45"/>
      <c r="L557" s="44">
        <v>5000</v>
      </c>
      <c r="M557" s="45"/>
      <c r="N557" s="44">
        <v>5000</v>
      </c>
      <c r="O557" s="45"/>
    </row>
    <row r="558" spans="1:15" ht="14.25" customHeight="1">
      <c r="A558" s="46">
        <v>11076</v>
      </c>
      <c r="B558" s="47"/>
      <c r="C558" s="48" t="s">
        <v>557</v>
      </c>
      <c r="D558" s="49"/>
      <c r="E558" s="50"/>
      <c r="F558" s="51" t="s">
        <v>16</v>
      </c>
      <c r="G558" s="52"/>
      <c r="H558" s="44">
        <v>8678</v>
      </c>
      <c r="I558" s="45"/>
      <c r="J558" s="44">
        <v>7063</v>
      </c>
      <c r="K558" s="45"/>
      <c r="L558" s="44">
        <v>6780</v>
      </c>
      <c r="M558" s="45"/>
      <c r="N558" s="44">
        <v>5000</v>
      </c>
      <c r="O558" s="45"/>
    </row>
    <row r="559" spans="1:15" ht="14.25" customHeight="1">
      <c r="A559" s="46">
        <v>11063</v>
      </c>
      <c r="B559" s="47"/>
      <c r="C559" s="48" t="s">
        <v>558</v>
      </c>
      <c r="D559" s="49"/>
      <c r="E559" s="50"/>
      <c r="F559" s="51" t="s">
        <v>16</v>
      </c>
      <c r="G559" s="52"/>
      <c r="H559" s="44">
        <v>7514</v>
      </c>
      <c r="I559" s="45"/>
      <c r="J559" s="44">
        <v>5000</v>
      </c>
      <c r="K559" s="45"/>
      <c r="L559" s="44">
        <v>5000</v>
      </c>
      <c r="M559" s="45"/>
      <c r="N559" s="44">
        <v>5000</v>
      </c>
      <c r="O559" s="45"/>
    </row>
    <row r="560" spans="1:15" ht="14.25" customHeight="1">
      <c r="A560" s="46">
        <v>21056</v>
      </c>
      <c r="B560" s="47"/>
      <c r="C560" s="48" t="s">
        <v>559</v>
      </c>
      <c r="D560" s="49"/>
      <c r="E560" s="50"/>
      <c r="F560" s="51" t="s">
        <v>20</v>
      </c>
      <c r="G560" s="52"/>
      <c r="H560" s="44">
        <v>7390</v>
      </c>
      <c r="I560" s="45"/>
      <c r="J560" s="44">
        <v>5000</v>
      </c>
      <c r="K560" s="45"/>
      <c r="L560" s="44">
        <v>5000</v>
      </c>
      <c r="M560" s="45"/>
      <c r="N560" s="44">
        <v>5000</v>
      </c>
      <c r="O560" s="45"/>
    </row>
    <row r="561" spans="1:15" ht="14.25" customHeight="1">
      <c r="A561" s="56">
        <v>91915</v>
      </c>
      <c r="B561" s="57"/>
      <c r="C561" s="62" t="s">
        <v>560</v>
      </c>
      <c r="D561" s="63"/>
      <c r="E561" s="64"/>
      <c r="F561" s="65" t="s">
        <v>561</v>
      </c>
      <c r="G561" s="66"/>
      <c r="H561" s="71">
        <v>12540</v>
      </c>
      <c r="I561" s="72"/>
      <c r="J561" s="77">
        <v>5000</v>
      </c>
      <c r="K561" s="78"/>
      <c r="L561" s="77">
        <v>5000</v>
      </c>
      <c r="M561" s="78"/>
      <c r="N561" s="77">
        <v>5000</v>
      </c>
      <c r="O561" s="78"/>
    </row>
    <row r="562" spans="1:15" ht="14.25" customHeight="1">
      <c r="A562" s="58"/>
      <c r="B562" s="59"/>
      <c r="C562" s="83" t="s">
        <v>562</v>
      </c>
      <c r="D562" s="84"/>
      <c r="E562" s="85"/>
      <c r="F562" s="67"/>
      <c r="G562" s="68"/>
      <c r="H562" s="73"/>
      <c r="I562" s="74"/>
      <c r="J562" s="79"/>
      <c r="K562" s="80"/>
      <c r="L562" s="79"/>
      <c r="M562" s="80"/>
      <c r="N562" s="79"/>
      <c r="O562" s="80"/>
    </row>
    <row r="563" spans="1:15" ht="14.25" customHeight="1">
      <c r="A563" s="60"/>
      <c r="B563" s="61"/>
      <c r="C563" s="86" t="s">
        <v>563</v>
      </c>
      <c r="D563" s="87"/>
      <c r="E563" s="5"/>
      <c r="F563" s="69"/>
      <c r="G563" s="70"/>
      <c r="H563" s="75"/>
      <c r="I563" s="76"/>
      <c r="J563" s="81"/>
      <c r="K563" s="82"/>
      <c r="L563" s="81"/>
      <c r="M563" s="82"/>
      <c r="N563" s="81"/>
      <c r="O563" s="82"/>
    </row>
    <row r="564" spans="1:15" ht="14.25" customHeight="1">
      <c r="A564" s="46">
        <v>31038</v>
      </c>
      <c r="B564" s="47"/>
      <c r="C564" s="48" t="s">
        <v>564</v>
      </c>
      <c r="D564" s="49"/>
      <c r="E564" s="50"/>
      <c r="F564" s="51" t="s">
        <v>58</v>
      </c>
      <c r="G564" s="52"/>
      <c r="H564" s="44">
        <v>7548</v>
      </c>
      <c r="I564" s="45"/>
      <c r="J564" s="44">
        <v>5000</v>
      </c>
      <c r="K564" s="45"/>
      <c r="L564" s="44">
        <v>6420</v>
      </c>
      <c r="M564" s="45"/>
      <c r="N564" s="44">
        <v>5000</v>
      </c>
      <c r="O564" s="45"/>
    </row>
    <row r="565" spans="1:15" ht="14.25" customHeight="1">
      <c r="A565" s="46">
        <v>21057</v>
      </c>
      <c r="B565" s="47"/>
      <c r="C565" s="48" t="s">
        <v>565</v>
      </c>
      <c r="D565" s="49"/>
      <c r="E565" s="50"/>
      <c r="F565" s="51" t="s">
        <v>20</v>
      </c>
      <c r="G565" s="52"/>
      <c r="H565" s="44">
        <v>5000</v>
      </c>
      <c r="I565" s="45"/>
      <c r="J565" s="44">
        <v>5313</v>
      </c>
      <c r="K565" s="45"/>
      <c r="L565" s="44">
        <v>5000</v>
      </c>
      <c r="M565" s="45"/>
      <c r="N565" s="44">
        <v>5000</v>
      </c>
      <c r="O565" s="45"/>
    </row>
    <row r="566" spans="1:15" ht="14.25" customHeight="1">
      <c r="A566" s="46">
        <v>91016</v>
      </c>
      <c r="B566" s="47"/>
      <c r="C566" s="48" t="s">
        <v>566</v>
      </c>
      <c r="D566" s="49"/>
      <c r="E566" s="50"/>
      <c r="F566" s="51" t="s">
        <v>28</v>
      </c>
      <c r="G566" s="52"/>
      <c r="H566" s="44">
        <v>5000</v>
      </c>
      <c r="I566" s="45"/>
      <c r="J566" s="44">
        <v>5000</v>
      </c>
      <c r="K566" s="45"/>
      <c r="L566" s="44">
        <v>6100</v>
      </c>
      <c r="M566" s="45"/>
      <c r="N566" s="44">
        <v>6333</v>
      </c>
      <c r="O566" s="45"/>
    </row>
    <row r="567" spans="1:15" ht="14.25" customHeight="1">
      <c r="A567" s="46">
        <v>21058</v>
      </c>
      <c r="B567" s="47"/>
      <c r="C567" s="48" t="s">
        <v>567</v>
      </c>
      <c r="D567" s="49"/>
      <c r="E567" s="50"/>
      <c r="F567" s="51" t="s">
        <v>20</v>
      </c>
      <c r="G567" s="52"/>
      <c r="H567" s="44">
        <v>5000</v>
      </c>
      <c r="I567" s="45"/>
      <c r="J567" s="44">
        <v>5000</v>
      </c>
      <c r="K567" s="45"/>
      <c r="L567" s="44">
        <v>5000</v>
      </c>
      <c r="M567" s="45"/>
      <c r="N567" s="44">
        <v>5000</v>
      </c>
      <c r="O567" s="45"/>
    </row>
    <row r="568" spans="1:15" ht="28.5" customHeight="1">
      <c r="A568" s="46">
        <v>41040</v>
      </c>
      <c r="B568" s="47"/>
      <c r="C568" s="53" t="s">
        <v>568</v>
      </c>
      <c r="D568" s="54"/>
      <c r="E568" s="55"/>
      <c r="F568" s="51" t="s">
        <v>11</v>
      </c>
      <c r="G568" s="52"/>
      <c r="H568" s="44">
        <v>5000</v>
      </c>
      <c r="I568" s="45"/>
      <c r="J568" s="44">
        <v>5000</v>
      </c>
      <c r="K568" s="45"/>
      <c r="L568" s="44">
        <v>5000</v>
      </c>
      <c r="M568" s="45"/>
      <c r="N568" s="44">
        <v>5000</v>
      </c>
      <c r="O568" s="45"/>
    </row>
    <row r="569" spans="1:15" ht="14.25" customHeight="1">
      <c r="A569" s="46">
        <v>41006</v>
      </c>
      <c r="B569" s="47"/>
      <c r="C569" s="48" t="s">
        <v>569</v>
      </c>
      <c r="D569" s="49"/>
      <c r="E569" s="50"/>
      <c r="F569" s="51" t="s">
        <v>11</v>
      </c>
      <c r="G569" s="52"/>
      <c r="H569" s="44">
        <v>6132</v>
      </c>
      <c r="I569" s="45"/>
      <c r="J569" s="44">
        <v>5000</v>
      </c>
      <c r="K569" s="45"/>
      <c r="L569" s="44">
        <v>5000</v>
      </c>
      <c r="M569" s="45"/>
      <c r="N569" s="44">
        <v>5000</v>
      </c>
      <c r="O569" s="45"/>
    </row>
    <row r="570" spans="1:15" ht="14.25" customHeight="1">
      <c r="A570" s="46">
        <v>21064</v>
      </c>
      <c r="B570" s="47"/>
      <c r="C570" s="48" t="s">
        <v>570</v>
      </c>
      <c r="D570" s="49"/>
      <c r="E570" s="50"/>
      <c r="F570" s="51" t="s">
        <v>20</v>
      </c>
      <c r="G570" s="52"/>
      <c r="H570" s="44">
        <v>7128</v>
      </c>
      <c r="I570" s="45"/>
      <c r="J570" s="44">
        <v>5000</v>
      </c>
      <c r="K570" s="45"/>
      <c r="L570" s="44">
        <v>5000</v>
      </c>
      <c r="M570" s="45"/>
      <c r="N570" s="44">
        <v>5000</v>
      </c>
      <c r="O570" s="45"/>
    </row>
    <row r="571" spans="1:15" ht="14.25" customHeight="1">
      <c r="A571" s="46">
        <v>21065</v>
      </c>
      <c r="B571" s="47"/>
      <c r="C571" s="48" t="s">
        <v>571</v>
      </c>
      <c r="D571" s="49"/>
      <c r="E571" s="50"/>
      <c r="F571" s="51" t="s">
        <v>20</v>
      </c>
      <c r="G571" s="52"/>
      <c r="H571" s="44">
        <v>5000</v>
      </c>
      <c r="I571" s="45"/>
      <c r="J571" s="44">
        <v>5000</v>
      </c>
      <c r="K571" s="45"/>
      <c r="L571" s="44">
        <v>5000</v>
      </c>
      <c r="M571" s="45"/>
      <c r="N571" s="44">
        <v>7500</v>
      </c>
      <c r="O571" s="45"/>
    </row>
    <row r="572" spans="1:15" ht="14.25" customHeight="1">
      <c r="A572" s="46">
        <v>11051</v>
      </c>
      <c r="B572" s="47"/>
      <c r="C572" s="48" t="s">
        <v>572</v>
      </c>
      <c r="D572" s="49"/>
      <c r="E572" s="50"/>
      <c r="F572" s="51" t="s">
        <v>16</v>
      </c>
      <c r="G572" s="52"/>
      <c r="H572" s="44">
        <v>7830</v>
      </c>
      <c r="I572" s="45"/>
      <c r="J572" s="44">
        <v>5000</v>
      </c>
      <c r="K572" s="45"/>
      <c r="L572" s="44">
        <v>5000</v>
      </c>
      <c r="M572" s="45"/>
      <c r="N572" s="44">
        <v>5000</v>
      </c>
      <c r="O572" s="45"/>
    </row>
    <row r="573" spans="1:15" ht="14.25" customHeight="1">
      <c r="A573" s="46">
        <v>81044</v>
      </c>
      <c r="B573" s="47"/>
      <c r="C573" s="48" t="s">
        <v>573</v>
      </c>
      <c r="D573" s="49"/>
      <c r="E573" s="50"/>
      <c r="F573" s="51" t="s">
        <v>23</v>
      </c>
      <c r="G573" s="52"/>
      <c r="H573" s="44">
        <v>7106</v>
      </c>
      <c r="I573" s="45"/>
      <c r="J573" s="44">
        <v>5000</v>
      </c>
      <c r="K573" s="45"/>
      <c r="L573" s="44">
        <v>5000</v>
      </c>
      <c r="M573" s="45"/>
      <c r="N573" s="44">
        <v>5000</v>
      </c>
      <c r="O573" s="45"/>
    </row>
    <row r="574" spans="1:15" ht="14.25" customHeight="1">
      <c r="A574" s="46">
        <v>61034</v>
      </c>
      <c r="B574" s="47"/>
      <c r="C574" s="48" t="s">
        <v>574</v>
      </c>
      <c r="D574" s="49"/>
      <c r="E574" s="50"/>
      <c r="F574" s="51" t="s">
        <v>25</v>
      </c>
      <c r="G574" s="52"/>
      <c r="H574" s="44">
        <v>6136</v>
      </c>
      <c r="I574" s="45"/>
      <c r="J574" s="44">
        <v>5000</v>
      </c>
      <c r="K574" s="45"/>
      <c r="L574" s="44">
        <v>5000</v>
      </c>
      <c r="M574" s="45"/>
      <c r="N574" s="44">
        <v>5000</v>
      </c>
      <c r="O574" s="45"/>
    </row>
    <row r="575" spans="1:15" ht="14.25" customHeight="1">
      <c r="A575" s="46">
        <v>71026</v>
      </c>
      <c r="B575" s="47"/>
      <c r="C575" s="48" t="s">
        <v>575</v>
      </c>
      <c r="D575" s="49"/>
      <c r="E575" s="50"/>
      <c r="F575" s="51" t="s">
        <v>18</v>
      </c>
      <c r="G575" s="52"/>
      <c r="H575" s="44">
        <v>7362</v>
      </c>
      <c r="I575" s="45"/>
      <c r="J575" s="44">
        <v>5000</v>
      </c>
      <c r="K575" s="45"/>
      <c r="L575" s="44">
        <v>5000</v>
      </c>
      <c r="M575" s="45"/>
      <c r="N575" s="44">
        <v>5000</v>
      </c>
      <c r="O575" s="45"/>
    </row>
    <row r="576" spans="1:15" ht="14.25" customHeight="1">
      <c r="A576" s="46">
        <v>11011</v>
      </c>
      <c r="B576" s="47"/>
      <c r="C576" s="48" t="s">
        <v>576</v>
      </c>
      <c r="D576" s="49"/>
      <c r="E576" s="50"/>
      <c r="F576" s="51" t="s">
        <v>16</v>
      </c>
      <c r="G576" s="52"/>
      <c r="H576" s="44">
        <v>5000</v>
      </c>
      <c r="I576" s="45"/>
      <c r="J576" s="44">
        <v>5000</v>
      </c>
      <c r="K576" s="45"/>
      <c r="L576" s="44">
        <v>5000</v>
      </c>
      <c r="M576" s="45"/>
      <c r="N576" s="44">
        <v>5000</v>
      </c>
      <c r="O576" s="45"/>
    </row>
    <row r="577" spans="1:15" ht="14.25" customHeight="1">
      <c r="A577" s="46">
        <v>11086</v>
      </c>
      <c r="B577" s="47"/>
      <c r="C577" s="48" t="s">
        <v>577</v>
      </c>
      <c r="D577" s="49"/>
      <c r="E577" s="50"/>
      <c r="F577" s="51" t="s">
        <v>16</v>
      </c>
      <c r="G577" s="52"/>
      <c r="H577" s="44">
        <v>5000</v>
      </c>
      <c r="I577" s="45"/>
      <c r="J577" s="44">
        <v>5000</v>
      </c>
      <c r="K577" s="45"/>
      <c r="L577" s="44">
        <v>5000</v>
      </c>
      <c r="M577" s="45"/>
      <c r="N577" s="44">
        <v>5000</v>
      </c>
      <c r="O577" s="45"/>
    </row>
    <row r="578" spans="1:15" ht="14.25" customHeight="1">
      <c r="A578" s="46">
        <v>81036</v>
      </c>
      <c r="B578" s="47"/>
      <c r="C578" s="48" t="s">
        <v>578</v>
      </c>
      <c r="D578" s="49"/>
      <c r="E578" s="50"/>
      <c r="F578" s="51" t="s">
        <v>23</v>
      </c>
      <c r="G578" s="52"/>
      <c r="H578" s="44">
        <v>5000</v>
      </c>
      <c r="I578" s="45"/>
      <c r="J578" s="44">
        <v>5000</v>
      </c>
      <c r="K578" s="45"/>
      <c r="L578" s="44">
        <v>5000</v>
      </c>
      <c r="M578" s="45"/>
      <c r="N578" s="44">
        <v>5000</v>
      </c>
      <c r="O578" s="45"/>
    </row>
    <row r="579" spans="1:15" ht="14.25" customHeight="1">
      <c r="A579" s="46">
        <v>81038</v>
      </c>
      <c r="B579" s="47"/>
      <c r="C579" s="48" t="s">
        <v>579</v>
      </c>
      <c r="D579" s="49"/>
      <c r="E579" s="50"/>
      <c r="F579" s="51" t="s">
        <v>23</v>
      </c>
      <c r="G579" s="52"/>
      <c r="H579" s="44">
        <v>5000</v>
      </c>
      <c r="I579" s="45"/>
      <c r="J579" s="44">
        <v>5000</v>
      </c>
      <c r="K579" s="45"/>
      <c r="L579" s="44">
        <v>5000</v>
      </c>
      <c r="M579" s="45"/>
      <c r="N579" s="44">
        <v>5000</v>
      </c>
      <c r="O579" s="45"/>
    </row>
    <row r="580" spans="1:15" ht="14.25" customHeight="1">
      <c r="A580" s="46">
        <v>21059</v>
      </c>
      <c r="B580" s="47"/>
      <c r="C580" s="48" t="s">
        <v>580</v>
      </c>
      <c r="D580" s="49"/>
      <c r="E580" s="50"/>
      <c r="F580" s="51" t="s">
        <v>20</v>
      </c>
      <c r="G580" s="52"/>
      <c r="H580" s="44">
        <v>5000</v>
      </c>
      <c r="I580" s="45"/>
      <c r="J580" s="44">
        <v>5000</v>
      </c>
      <c r="K580" s="45"/>
      <c r="L580" s="44">
        <v>5000</v>
      </c>
      <c r="M580" s="45"/>
      <c r="N580" s="44">
        <v>5000</v>
      </c>
      <c r="O580" s="45"/>
    </row>
    <row r="581" spans="1:15" ht="14.25" customHeight="1">
      <c r="A581" s="46">
        <v>21114</v>
      </c>
      <c r="B581" s="47"/>
      <c r="C581" s="48" t="s">
        <v>581</v>
      </c>
      <c r="D581" s="49"/>
      <c r="E581" s="50"/>
      <c r="F581" s="51" t="s">
        <v>20</v>
      </c>
      <c r="G581" s="52"/>
      <c r="H581" s="44">
        <v>5000</v>
      </c>
      <c r="I581" s="45"/>
      <c r="J581" s="44">
        <v>5000</v>
      </c>
      <c r="K581" s="45"/>
      <c r="L581" s="44">
        <v>5000</v>
      </c>
      <c r="M581" s="45"/>
      <c r="N581" s="44">
        <v>5000</v>
      </c>
      <c r="O581" s="45"/>
    </row>
    <row r="582" spans="1:15" ht="14.25" customHeight="1">
      <c r="A582" s="46">
        <v>81039</v>
      </c>
      <c r="B582" s="47"/>
      <c r="C582" s="48" t="s">
        <v>582</v>
      </c>
      <c r="D582" s="49"/>
      <c r="E582" s="50"/>
      <c r="F582" s="51" t="s">
        <v>23</v>
      </c>
      <c r="G582" s="52"/>
      <c r="H582" s="44">
        <v>5044</v>
      </c>
      <c r="I582" s="45"/>
      <c r="J582" s="44">
        <v>5000</v>
      </c>
      <c r="K582" s="45"/>
      <c r="L582" s="44">
        <v>5000</v>
      </c>
      <c r="M582" s="45"/>
      <c r="N582" s="44">
        <v>5000</v>
      </c>
      <c r="O582" s="45"/>
    </row>
    <row r="583" spans="1:15" ht="14.25" customHeight="1">
      <c r="A583" s="46">
        <v>61021</v>
      </c>
      <c r="B583" s="47"/>
      <c r="C583" s="48" t="s">
        <v>583</v>
      </c>
      <c r="D583" s="49"/>
      <c r="E583" s="50"/>
      <c r="F583" s="51" t="s">
        <v>25</v>
      </c>
      <c r="G583" s="52"/>
      <c r="H583" s="44">
        <v>5000</v>
      </c>
      <c r="I583" s="45"/>
      <c r="J583" s="44">
        <v>5000</v>
      </c>
      <c r="K583" s="45"/>
      <c r="L583" s="44">
        <v>5000</v>
      </c>
      <c r="M583" s="45"/>
      <c r="N583" s="44">
        <v>5000</v>
      </c>
      <c r="O583" s="45"/>
    </row>
    <row r="584" spans="1:15" ht="14.25" customHeight="1">
      <c r="A584" s="46">
        <v>81076</v>
      </c>
      <c r="B584" s="47"/>
      <c r="C584" s="48" t="s">
        <v>584</v>
      </c>
      <c r="D584" s="49"/>
      <c r="E584" s="50"/>
      <c r="F584" s="51" t="s">
        <v>23</v>
      </c>
      <c r="G584" s="52"/>
      <c r="H584" s="44">
        <v>5000</v>
      </c>
      <c r="I584" s="45"/>
      <c r="J584" s="44">
        <v>5000</v>
      </c>
      <c r="K584" s="45"/>
      <c r="L584" s="44">
        <v>5000</v>
      </c>
      <c r="M584" s="45"/>
      <c r="N584" s="44">
        <v>5000</v>
      </c>
      <c r="O584" s="45"/>
    </row>
    <row r="585" spans="1:15" ht="14.25" customHeight="1">
      <c r="A585" s="46">
        <v>81062</v>
      </c>
      <c r="B585" s="47"/>
      <c r="C585" s="48" t="s">
        <v>585</v>
      </c>
      <c r="D585" s="49"/>
      <c r="E585" s="50"/>
      <c r="F585" s="51" t="s">
        <v>23</v>
      </c>
      <c r="G585" s="52"/>
      <c r="H585" s="44">
        <v>5000</v>
      </c>
      <c r="I585" s="45"/>
      <c r="J585" s="44">
        <v>5000</v>
      </c>
      <c r="K585" s="45"/>
      <c r="L585" s="44">
        <v>5000</v>
      </c>
      <c r="M585" s="45"/>
      <c r="N585" s="44">
        <v>5000</v>
      </c>
      <c r="O585" s="45"/>
    </row>
    <row r="586" spans="1:15" ht="14.25" customHeight="1">
      <c r="A586" s="46">
        <v>81077</v>
      </c>
      <c r="B586" s="47"/>
      <c r="C586" s="48" t="s">
        <v>586</v>
      </c>
      <c r="D586" s="49"/>
      <c r="E586" s="50"/>
      <c r="F586" s="51" t="s">
        <v>23</v>
      </c>
      <c r="G586" s="52"/>
      <c r="H586" s="44">
        <v>9308</v>
      </c>
      <c r="I586" s="45"/>
      <c r="J586" s="44">
        <v>5000</v>
      </c>
      <c r="K586" s="45"/>
      <c r="L586" s="44">
        <v>5000</v>
      </c>
      <c r="M586" s="45"/>
      <c r="N586" s="44">
        <v>5000</v>
      </c>
      <c r="O586" s="45"/>
    </row>
    <row r="587" spans="1:15" ht="14.25" customHeight="1">
      <c r="A587" s="46">
        <v>21083</v>
      </c>
      <c r="B587" s="47"/>
      <c r="C587" s="48" t="s">
        <v>587</v>
      </c>
      <c r="D587" s="49"/>
      <c r="E587" s="50"/>
      <c r="F587" s="51" t="s">
        <v>20</v>
      </c>
      <c r="G587" s="52"/>
      <c r="H587" s="44">
        <v>12024</v>
      </c>
      <c r="I587" s="45"/>
      <c r="J587" s="44">
        <v>7188</v>
      </c>
      <c r="K587" s="45"/>
      <c r="L587" s="44">
        <v>8620</v>
      </c>
      <c r="M587" s="45"/>
      <c r="N587" s="44">
        <v>6500</v>
      </c>
      <c r="O587" s="45"/>
    </row>
  </sheetData>
  <mergeCells count="3970">
    <mergeCell ref="O5:P5"/>
    <mergeCell ref="B6:C6"/>
    <mergeCell ref="D6:F6"/>
    <mergeCell ref="G6:H6"/>
    <mergeCell ref="I6:J6"/>
    <mergeCell ref="K6:L6"/>
    <mergeCell ref="M6:N6"/>
    <mergeCell ref="O6:P6"/>
    <mergeCell ref="A1:P1"/>
    <mergeCell ref="B2:P2"/>
    <mergeCell ref="B3:P3"/>
    <mergeCell ref="B4:P4"/>
    <mergeCell ref="B5:C5"/>
    <mergeCell ref="D5:F5"/>
    <mergeCell ref="G5:H5"/>
    <mergeCell ref="I5:J5"/>
    <mergeCell ref="K5:L5"/>
    <mergeCell ref="M5:N5"/>
    <mergeCell ref="O9:P9"/>
    <mergeCell ref="B10:C10"/>
    <mergeCell ref="D10:F10"/>
    <mergeCell ref="G10:H10"/>
    <mergeCell ref="I10:J10"/>
    <mergeCell ref="K10:L10"/>
    <mergeCell ref="M10:N10"/>
    <mergeCell ref="O10:P10"/>
    <mergeCell ref="B9:C9"/>
    <mergeCell ref="D9:F9"/>
    <mergeCell ref="G9:H9"/>
    <mergeCell ref="I9:J9"/>
    <mergeCell ref="K9:L9"/>
    <mergeCell ref="M9:N9"/>
    <mergeCell ref="O7:P7"/>
    <mergeCell ref="B8:C8"/>
    <mergeCell ref="D8:F8"/>
    <mergeCell ref="G8:H8"/>
    <mergeCell ref="I8:J8"/>
    <mergeCell ref="K8:L8"/>
    <mergeCell ref="M8:N8"/>
    <mergeCell ref="O8:P8"/>
    <mergeCell ref="B7:C7"/>
    <mergeCell ref="D7:F7"/>
    <mergeCell ref="G7:H7"/>
    <mergeCell ref="I7:J7"/>
    <mergeCell ref="K7:L7"/>
    <mergeCell ref="M7:N7"/>
    <mergeCell ref="O13:P13"/>
    <mergeCell ref="B14:C14"/>
    <mergeCell ref="D14:F14"/>
    <mergeCell ref="G14:H14"/>
    <mergeCell ref="I14:J14"/>
    <mergeCell ref="K14:L14"/>
    <mergeCell ref="M14:N14"/>
    <mergeCell ref="O14:P14"/>
    <mergeCell ref="B13:C13"/>
    <mergeCell ref="D13:F13"/>
    <mergeCell ref="G13:H13"/>
    <mergeCell ref="I13:J13"/>
    <mergeCell ref="K13:L13"/>
    <mergeCell ref="M13:N13"/>
    <mergeCell ref="O11:P11"/>
    <mergeCell ref="B12:C12"/>
    <mergeCell ref="D12:F12"/>
    <mergeCell ref="G12:H12"/>
    <mergeCell ref="I12:J12"/>
    <mergeCell ref="K12:L12"/>
    <mergeCell ref="M12:N12"/>
    <mergeCell ref="O12:P12"/>
    <mergeCell ref="B11:C11"/>
    <mergeCell ref="D11:F11"/>
    <mergeCell ref="G11:H11"/>
    <mergeCell ref="I11:J11"/>
    <mergeCell ref="K11:L11"/>
    <mergeCell ref="M11:N11"/>
    <mergeCell ref="O17:P17"/>
    <mergeCell ref="B18:C18"/>
    <mergeCell ref="D18:F18"/>
    <mergeCell ref="G18:H18"/>
    <mergeCell ref="I18:J18"/>
    <mergeCell ref="K18:L18"/>
    <mergeCell ref="M18:N18"/>
    <mergeCell ref="O18:P18"/>
    <mergeCell ref="B17:C17"/>
    <mergeCell ref="D17:F17"/>
    <mergeCell ref="G17:H17"/>
    <mergeCell ref="I17:J17"/>
    <mergeCell ref="K17:L17"/>
    <mergeCell ref="M17:N17"/>
    <mergeCell ref="O15:P15"/>
    <mergeCell ref="B16:C16"/>
    <mergeCell ref="D16:F16"/>
    <mergeCell ref="G16:H16"/>
    <mergeCell ref="I16:J16"/>
    <mergeCell ref="K16:L16"/>
    <mergeCell ref="M16:N16"/>
    <mergeCell ref="O16:P16"/>
    <mergeCell ref="B15:C15"/>
    <mergeCell ref="D15:F15"/>
    <mergeCell ref="G15:H15"/>
    <mergeCell ref="I15:J15"/>
    <mergeCell ref="K15:L15"/>
    <mergeCell ref="M15:N15"/>
    <mergeCell ref="O21:P21"/>
    <mergeCell ref="B22:C22"/>
    <mergeCell ref="D22:F22"/>
    <mergeCell ref="G22:H22"/>
    <mergeCell ref="I22:J22"/>
    <mergeCell ref="K22:L22"/>
    <mergeCell ref="M22:N22"/>
    <mergeCell ref="O22:P22"/>
    <mergeCell ref="B21:C21"/>
    <mergeCell ref="D21:F21"/>
    <mergeCell ref="G21:H21"/>
    <mergeCell ref="I21:J21"/>
    <mergeCell ref="K21:L21"/>
    <mergeCell ref="M21:N21"/>
    <mergeCell ref="O19:P19"/>
    <mergeCell ref="B20:C20"/>
    <mergeCell ref="D20:F20"/>
    <mergeCell ref="G20:H20"/>
    <mergeCell ref="I20:J20"/>
    <mergeCell ref="K20:L20"/>
    <mergeCell ref="M20:N20"/>
    <mergeCell ref="O20:P20"/>
    <mergeCell ref="B19:C19"/>
    <mergeCell ref="D19:F19"/>
    <mergeCell ref="G19:H19"/>
    <mergeCell ref="I19:J19"/>
    <mergeCell ref="K19:L19"/>
    <mergeCell ref="M19:N19"/>
    <mergeCell ref="O25:P25"/>
    <mergeCell ref="B26:C26"/>
    <mergeCell ref="D26:F26"/>
    <mergeCell ref="G26:H26"/>
    <mergeCell ref="I26:J26"/>
    <mergeCell ref="K26:L26"/>
    <mergeCell ref="M26:N26"/>
    <mergeCell ref="O26:P26"/>
    <mergeCell ref="B25:C25"/>
    <mergeCell ref="D25:F25"/>
    <mergeCell ref="G25:H25"/>
    <mergeCell ref="I25:J25"/>
    <mergeCell ref="K25:L25"/>
    <mergeCell ref="M25:N25"/>
    <mergeCell ref="O23:P23"/>
    <mergeCell ref="B24:C24"/>
    <mergeCell ref="D24:F24"/>
    <mergeCell ref="G24:H24"/>
    <mergeCell ref="I24:J24"/>
    <mergeCell ref="K24:L24"/>
    <mergeCell ref="M24:N24"/>
    <mergeCell ref="O24:P24"/>
    <mergeCell ref="B23:C23"/>
    <mergeCell ref="D23:F23"/>
    <mergeCell ref="G23:H23"/>
    <mergeCell ref="I23:J23"/>
    <mergeCell ref="K23:L23"/>
    <mergeCell ref="M23:N23"/>
    <mergeCell ref="O29:P29"/>
    <mergeCell ref="B30:C30"/>
    <mergeCell ref="D30:F30"/>
    <mergeCell ref="G30:H30"/>
    <mergeCell ref="I30:J30"/>
    <mergeCell ref="K30:L30"/>
    <mergeCell ref="M30:N30"/>
    <mergeCell ref="O30:P30"/>
    <mergeCell ref="B29:C29"/>
    <mergeCell ref="D29:F29"/>
    <mergeCell ref="G29:H29"/>
    <mergeCell ref="I29:J29"/>
    <mergeCell ref="K29:L29"/>
    <mergeCell ref="M29:N29"/>
    <mergeCell ref="O27:P27"/>
    <mergeCell ref="B28:C28"/>
    <mergeCell ref="D28:F28"/>
    <mergeCell ref="G28:H28"/>
    <mergeCell ref="I28:J28"/>
    <mergeCell ref="K28:L28"/>
    <mergeCell ref="M28:N28"/>
    <mergeCell ref="O28:P28"/>
    <mergeCell ref="B27:C27"/>
    <mergeCell ref="D27:F27"/>
    <mergeCell ref="G27:H27"/>
    <mergeCell ref="I27:J27"/>
    <mergeCell ref="K27:L27"/>
    <mergeCell ref="M27:N27"/>
    <mergeCell ref="O33:P33"/>
    <mergeCell ref="B34:C34"/>
    <mergeCell ref="D34:F34"/>
    <mergeCell ref="G34:H34"/>
    <mergeCell ref="I34:J34"/>
    <mergeCell ref="K34:L34"/>
    <mergeCell ref="M34:N34"/>
    <mergeCell ref="O34:P34"/>
    <mergeCell ref="B33:C33"/>
    <mergeCell ref="D33:F33"/>
    <mergeCell ref="G33:H33"/>
    <mergeCell ref="I33:J33"/>
    <mergeCell ref="K33:L33"/>
    <mergeCell ref="M33:N33"/>
    <mergeCell ref="O31:P31"/>
    <mergeCell ref="B32:C32"/>
    <mergeCell ref="D32:F32"/>
    <mergeCell ref="G32:H32"/>
    <mergeCell ref="I32:J32"/>
    <mergeCell ref="K32:L32"/>
    <mergeCell ref="M32:N32"/>
    <mergeCell ref="O32:P32"/>
    <mergeCell ref="B31:C31"/>
    <mergeCell ref="D31:F31"/>
    <mergeCell ref="G31:H31"/>
    <mergeCell ref="I31:J31"/>
    <mergeCell ref="K31:L31"/>
    <mergeCell ref="M31:N31"/>
    <mergeCell ref="O37:P37"/>
    <mergeCell ref="B38:C38"/>
    <mergeCell ref="D38:F38"/>
    <mergeCell ref="G38:H38"/>
    <mergeCell ref="I38:J38"/>
    <mergeCell ref="K38:L38"/>
    <mergeCell ref="M38:N38"/>
    <mergeCell ref="O38:P38"/>
    <mergeCell ref="B37:C37"/>
    <mergeCell ref="D37:F37"/>
    <mergeCell ref="G37:H37"/>
    <mergeCell ref="I37:J37"/>
    <mergeCell ref="K37:L37"/>
    <mergeCell ref="M37:N37"/>
    <mergeCell ref="O35:P35"/>
    <mergeCell ref="B36:C36"/>
    <mergeCell ref="D36:F36"/>
    <mergeCell ref="G36:H36"/>
    <mergeCell ref="I36:J36"/>
    <mergeCell ref="K36:L36"/>
    <mergeCell ref="M36:N36"/>
    <mergeCell ref="O36:P36"/>
    <mergeCell ref="B35:C35"/>
    <mergeCell ref="D35:F35"/>
    <mergeCell ref="G35:H35"/>
    <mergeCell ref="I35:J35"/>
    <mergeCell ref="K35:L35"/>
    <mergeCell ref="M35:N35"/>
    <mergeCell ref="O41:P41"/>
    <mergeCell ref="B42:C42"/>
    <mergeCell ref="D42:F42"/>
    <mergeCell ref="G42:H42"/>
    <mergeCell ref="I42:J42"/>
    <mergeCell ref="K42:L42"/>
    <mergeCell ref="M42:N42"/>
    <mergeCell ref="O42:P42"/>
    <mergeCell ref="B41:C41"/>
    <mergeCell ref="D41:F41"/>
    <mergeCell ref="G41:H41"/>
    <mergeCell ref="I41:J41"/>
    <mergeCell ref="K41:L41"/>
    <mergeCell ref="M41:N41"/>
    <mergeCell ref="O39:P39"/>
    <mergeCell ref="B40:C40"/>
    <mergeCell ref="D40:F40"/>
    <mergeCell ref="G40:H40"/>
    <mergeCell ref="I40:J40"/>
    <mergeCell ref="K40:L40"/>
    <mergeCell ref="M40:N40"/>
    <mergeCell ref="O40:P40"/>
    <mergeCell ref="B39:C39"/>
    <mergeCell ref="D39:F39"/>
    <mergeCell ref="G39:H39"/>
    <mergeCell ref="I39:J39"/>
    <mergeCell ref="K39:L39"/>
    <mergeCell ref="M39:N39"/>
    <mergeCell ref="O45:P45"/>
    <mergeCell ref="B46:C46"/>
    <mergeCell ref="D46:F46"/>
    <mergeCell ref="G46:H46"/>
    <mergeCell ref="I46:J46"/>
    <mergeCell ref="K46:L46"/>
    <mergeCell ref="M46:N46"/>
    <mergeCell ref="O46:P46"/>
    <mergeCell ref="B45:C45"/>
    <mergeCell ref="D45:F45"/>
    <mergeCell ref="G45:H45"/>
    <mergeCell ref="I45:J45"/>
    <mergeCell ref="K45:L45"/>
    <mergeCell ref="M45:N45"/>
    <mergeCell ref="O43:P43"/>
    <mergeCell ref="B44:C44"/>
    <mergeCell ref="D44:F44"/>
    <mergeCell ref="G44:H44"/>
    <mergeCell ref="I44:J44"/>
    <mergeCell ref="K44:L44"/>
    <mergeCell ref="M44:N44"/>
    <mergeCell ref="O44:P44"/>
    <mergeCell ref="B43:C43"/>
    <mergeCell ref="D43:F43"/>
    <mergeCell ref="G43:H43"/>
    <mergeCell ref="I43:J43"/>
    <mergeCell ref="K43:L43"/>
    <mergeCell ref="M43:N43"/>
    <mergeCell ref="O49:P49"/>
    <mergeCell ref="B50:C50"/>
    <mergeCell ref="D50:F50"/>
    <mergeCell ref="G50:H50"/>
    <mergeCell ref="I50:J50"/>
    <mergeCell ref="K50:L50"/>
    <mergeCell ref="M50:N50"/>
    <mergeCell ref="O50:P50"/>
    <mergeCell ref="B49:C49"/>
    <mergeCell ref="D49:F49"/>
    <mergeCell ref="G49:H49"/>
    <mergeCell ref="I49:J49"/>
    <mergeCell ref="K49:L49"/>
    <mergeCell ref="M49:N49"/>
    <mergeCell ref="O47:P47"/>
    <mergeCell ref="B48:C48"/>
    <mergeCell ref="D48:F48"/>
    <mergeCell ref="G48:H48"/>
    <mergeCell ref="I48:J48"/>
    <mergeCell ref="K48:L48"/>
    <mergeCell ref="M48:N48"/>
    <mergeCell ref="O48:P48"/>
    <mergeCell ref="B47:C47"/>
    <mergeCell ref="D47:F47"/>
    <mergeCell ref="G47:H47"/>
    <mergeCell ref="I47:J47"/>
    <mergeCell ref="K47:L47"/>
    <mergeCell ref="M47:N47"/>
    <mergeCell ref="O53:P53"/>
    <mergeCell ref="B54:C54"/>
    <mergeCell ref="D54:F54"/>
    <mergeCell ref="G54:H54"/>
    <mergeCell ref="I54:J54"/>
    <mergeCell ref="K54:L54"/>
    <mergeCell ref="M54:N54"/>
    <mergeCell ref="O54:P54"/>
    <mergeCell ref="B53:C53"/>
    <mergeCell ref="D53:F53"/>
    <mergeCell ref="G53:H53"/>
    <mergeCell ref="I53:J53"/>
    <mergeCell ref="K53:L53"/>
    <mergeCell ref="M53:N53"/>
    <mergeCell ref="O51:P51"/>
    <mergeCell ref="B52:C52"/>
    <mergeCell ref="D52:F52"/>
    <mergeCell ref="G52:H52"/>
    <mergeCell ref="I52:J52"/>
    <mergeCell ref="K52:L52"/>
    <mergeCell ref="M52:N52"/>
    <mergeCell ref="O52:P52"/>
    <mergeCell ref="B51:C51"/>
    <mergeCell ref="D51:F51"/>
    <mergeCell ref="G51:H51"/>
    <mergeCell ref="I51:J51"/>
    <mergeCell ref="K51:L51"/>
    <mergeCell ref="M51:N51"/>
    <mergeCell ref="O57:P57"/>
    <mergeCell ref="B58:C58"/>
    <mergeCell ref="D58:F58"/>
    <mergeCell ref="G58:H58"/>
    <mergeCell ref="I58:J58"/>
    <mergeCell ref="K58:L58"/>
    <mergeCell ref="M58:N58"/>
    <mergeCell ref="O58:P58"/>
    <mergeCell ref="B57:C57"/>
    <mergeCell ref="D57:F57"/>
    <mergeCell ref="G57:H57"/>
    <mergeCell ref="I57:J57"/>
    <mergeCell ref="K57:L57"/>
    <mergeCell ref="M57:N57"/>
    <mergeCell ref="O55:P55"/>
    <mergeCell ref="B56:C56"/>
    <mergeCell ref="D56:F56"/>
    <mergeCell ref="G56:H56"/>
    <mergeCell ref="I56:J56"/>
    <mergeCell ref="K56:L56"/>
    <mergeCell ref="M56:N56"/>
    <mergeCell ref="O56:P56"/>
    <mergeCell ref="B55:C55"/>
    <mergeCell ref="D55:F55"/>
    <mergeCell ref="G55:H55"/>
    <mergeCell ref="I55:J55"/>
    <mergeCell ref="K55:L55"/>
    <mergeCell ref="M55:N55"/>
    <mergeCell ref="O61:P61"/>
    <mergeCell ref="B62:C62"/>
    <mergeCell ref="D62:F62"/>
    <mergeCell ref="G62:H62"/>
    <mergeCell ref="I62:J62"/>
    <mergeCell ref="K62:L62"/>
    <mergeCell ref="M62:N62"/>
    <mergeCell ref="O62:P62"/>
    <mergeCell ref="B61:C61"/>
    <mergeCell ref="D61:F61"/>
    <mergeCell ref="G61:H61"/>
    <mergeCell ref="I61:J61"/>
    <mergeCell ref="K61:L61"/>
    <mergeCell ref="M61:N61"/>
    <mergeCell ref="O59:P59"/>
    <mergeCell ref="B60:C60"/>
    <mergeCell ref="D60:F60"/>
    <mergeCell ref="G60:H60"/>
    <mergeCell ref="I60:J60"/>
    <mergeCell ref="K60:L60"/>
    <mergeCell ref="M60:N60"/>
    <mergeCell ref="O60:P60"/>
    <mergeCell ref="B59:C59"/>
    <mergeCell ref="D59:F59"/>
    <mergeCell ref="G59:H59"/>
    <mergeCell ref="I59:J59"/>
    <mergeCell ref="K59:L59"/>
    <mergeCell ref="M59:N59"/>
    <mergeCell ref="O65:P65"/>
    <mergeCell ref="B66:C66"/>
    <mergeCell ref="D66:F66"/>
    <mergeCell ref="G66:H66"/>
    <mergeCell ref="I66:J66"/>
    <mergeCell ref="K66:L66"/>
    <mergeCell ref="M66:N66"/>
    <mergeCell ref="O66:P66"/>
    <mergeCell ref="B65:C65"/>
    <mergeCell ref="D65:F65"/>
    <mergeCell ref="G65:H65"/>
    <mergeCell ref="I65:J65"/>
    <mergeCell ref="K65:L65"/>
    <mergeCell ref="M65:N65"/>
    <mergeCell ref="O63:P63"/>
    <mergeCell ref="B64:C64"/>
    <mergeCell ref="D64:F64"/>
    <mergeCell ref="G64:H64"/>
    <mergeCell ref="I64:J64"/>
    <mergeCell ref="K64:L64"/>
    <mergeCell ref="M64:N64"/>
    <mergeCell ref="O64:P64"/>
    <mergeCell ref="B63:C63"/>
    <mergeCell ref="D63:F63"/>
    <mergeCell ref="G63:H63"/>
    <mergeCell ref="I63:J63"/>
    <mergeCell ref="K63:L63"/>
    <mergeCell ref="M63:N63"/>
    <mergeCell ref="O69:P69"/>
    <mergeCell ref="B70:C70"/>
    <mergeCell ref="D70:F70"/>
    <mergeCell ref="G70:H70"/>
    <mergeCell ref="I70:J70"/>
    <mergeCell ref="K70:L70"/>
    <mergeCell ref="M70:N70"/>
    <mergeCell ref="O70:P70"/>
    <mergeCell ref="B69:C69"/>
    <mergeCell ref="D69:F69"/>
    <mergeCell ref="G69:H69"/>
    <mergeCell ref="I69:J69"/>
    <mergeCell ref="K69:L69"/>
    <mergeCell ref="M69:N69"/>
    <mergeCell ref="O67:P67"/>
    <mergeCell ref="B68:C68"/>
    <mergeCell ref="D68:F68"/>
    <mergeCell ref="G68:H68"/>
    <mergeCell ref="I68:J68"/>
    <mergeCell ref="K68:L68"/>
    <mergeCell ref="M68:N68"/>
    <mergeCell ref="O68:P68"/>
    <mergeCell ref="B67:C67"/>
    <mergeCell ref="D67:F67"/>
    <mergeCell ref="G67:H67"/>
    <mergeCell ref="I67:J67"/>
    <mergeCell ref="K67:L67"/>
    <mergeCell ref="M67:N67"/>
    <mergeCell ref="N74:O74"/>
    <mergeCell ref="A75:B75"/>
    <mergeCell ref="C75:E75"/>
    <mergeCell ref="F75:G75"/>
    <mergeCell ref="H75:I75"/>
    <mergeCell ref="J75:K75"/>
    <mergeCell ref="L75:M75"/>
    <mergeCell ref="N75:O75"/>
    <mergeCell ref="A74:B74"/>
    <mergeCell ref="C74:E74"/>
    <mergeCell ref="F74:G74"/>
    <mergeCell ref="H74:I74"/>
    <mergeCell ref="J74:K74"/>
    <mergeCell ref="L74:M74"/>
    <mergeCell ref="O71:P71"/>
    <mergeCell ref="A73:B73"/>
    <mergeCell ref="C73:E73"/>
    <mergeCell ref="F73:G73"/>
    <mergeCell ref="H73:I73"/>
    <mergeCell ref="J73:K73"/>
    <mergeCell ref="L73:M73"/>
    <mergeCell ref="N73:O73"/>
    <mergeCell ref="B71:C71"/>
    <mergeCell ref="D71:F71"/>
    <mergeCell ref="G71:H71"/>
    <mergeCell ref="I71:J71"/>
    <mergeCell ref="K71:L71"/>
    <mergeCell ref="M71:N71"/>
    <mergeCell ref="N78:O78"/>
    <mergeCell ref="A79:B79"/>
    <mergeCell ref="C79:E79"/>
    <mergeCell ref="F79:G79"/>
    <mergeCell ref="H79:I79"/>
    <mergeCell ref="J79:K79"/>
    <mergeCell ref="L79:M79"/>
    <mergeCell ref="N79:O79"/>
    <mergeCell ref="A78:B78"/>
    <mergeCell ref="C78:E78"/>
    <mergeCell ref="F78:G78"/>
    <mergeCell ref="H78:I78"/>
    <mergeCell ref="J78:K78"/>
    <mergeCell ref="L78:M78"/>
    <mergeCell ref="N76:O76"/>
    <mergeCell ref="A77:B77"/>
    <mergeCell ref="C77:E77"/>
    <mergeCell ref="F77:G77"/>
    <mergeCell ref="H77:I77"/>
    <mergeCell ref="J77:K77"/>
    <mergeCell ref="L77:M77"/>
    <mergeCell ref="N77:O77"/>
    <mergeCell ref="A76:B76"/>
    <mergeCell ref="C76:E76"/>
    <mergeCell ref="F76:G76"/>
    <mergeCell ref="H76:I76"/>
    <mergeCell ref="J76:K76"/>
    <mergeCell ref="L76:M76"/>
    <mergeCell ref="N82:O82"/>
    <mergeCell ref="A83:B83"/>
    <mergeCell ref="C83:E83"/>
    <mergeCell ref="F83:G83"/>
    <mergeCell ref="H83:I83"/>
    <mergeCell ref="J83:K83"/>
    <mergeCell ref="L83:M83"/>
    <mergeCell ref="N83:O83"/>
    <mergeCell ref="A82:B82"/>
    <mergeCell ref="C82:E82"/>
    <mergeCell ref="F82:G82"/>
    <mergeCell ref="H82:I82"/>
    <mergeCell ref="J82:K82"/>
    <mergeCell ref="L82:M82"/>
    <mergeCell ref="N80:O80"/>
    <mergeCell ref="A81:B81"/>
    <mergeCell ref="C81:E81"/>
    <mergeCell ref="F81:G81"/>
    <mergeCell ref="H81:I81"/>
    <mergeCell ref="J81:K81"/>
    <mergeCell ref="L81:M81"/>
    <mergeCell ref="N81:O81"/>
    <mergeCell ref="A80:B80"/>
    <mergeCell ref="C80:E80"/>
    <mergeCell ref="F80:G80"/>
    <mergeCell ref="H80:I80"/>
    <mergeCell ref="J80:K80"/>
    <mergeCell ref="L80:M80"/>
    <mergeCell ref="N86:O86"/>
    <mergeCell ref="A87:B87"/>
    <mergeCell ref="C87:E87"/>
    <mergeCell ref="F87:G87"/>
    <mergeCell ref="H87:I87"/>
    <mergeCell ref="J87:K87"/>
    <mergeCell ref="L87:M87"/>
    <mergeCell ref="N87:O87"/>
    <mergeCell ref="A86:B86"/>
    <mergeCell ref="C86:E86"/>
    <mergeCell ref="F86:G86"/>
    <mergeCell ref="H86:I86"/>
    <mergeCell ref="J86:K86"/>
    <mergeCell ref="L86:M86"/>
    <mergeCell ref="N84:O84"/>
    <mergeCell ref="A85:B85"/>
    <mergeCell ref="C85:E85"/>
    <mergeCell ref="F85:G85"/>
    <mergeCell ref="H85:I85"/>
    <mergeCell ref="J85:K85"/>
    <mergeCell ref="L85:M85"/>
    <mergeCell ref="N85:O85"/>
    <mergeCell ref="A84:B84"/>
    <mergeCell ref="C84:E84"/>
    <mergeCell ref="F84:G84"/>
    <mergeCell ref="H84:I84"/>
    <mergeCell ref="J84:K84"/>
    <mergeCell ref="L84:M84"/>
    <mergeCell ref="N90:O90"/>
    <mergeCell ref="A91:B91"/>
    <mergeCell ref="C91:E91"/>
    <mergeCell ref="F91:G91"/>
    <mergeCell ref="H91:I91"/>
    <mergeCell ref="J91:K91"/>
    <mergeCell ref="L91:M91"/>
    <mergeCell ref="N91:O91"/>
    <mergeCell ref="A90:B90"/>
    <mergeCell ref="C90:E90"/>
    <mergeCell ref="F90:G90"/>
    <mergeCell ref="H90:I90"/>
    <mergeCell ref="J90:K90"/>
    <mergeCell ref="L90:M90"/>
    <mergeCell ref="N88:O88"/>
    <mergeCell ref="A89:B89"/>
    <mergeCell ref="C89:E89"/>
    <mergeCell ref="F89:G89"/>
    <mergeCell ref="H89:I89"/>
    <mergeCell ref="J89:K89"/>
    <mergeCell ref="L89:M89"/>
    <mergeCell ref="N89:O89"/>
    <mergeCell ref="A88:B88"/>
    <mergeCell ref="C88:E88"/>
    <mergeCell ref="F88:G88"/>
    <mergeCell ref="H88:I88"/>
    <mergeCell ref="J88:K88"/>
    <mergeCell ref="L88:M88"/>
    <mergeCell ref="N94:O94"/>
    <mergeCell ref="A95:B95"/>
    <mergeCell ref="C95:E95"/>
    <mergeCell ref="F95:G95"/>
    <mergeCell ref="H95:I95"/>
    <mergeCell ref="J95:K95"/>
    <mergeCell ref="L95:M95"/>
    <mergeCell ref="N95:O95"/>
    <mergeCell ref="A94:B94"/>
    <mergeCell ref="C94:E94"/>
    <mergeCell ref="F94:G94"/>
    <mergeCell ref="H94:I94"/>
    <mergeCell ref="J94:K94"/>
    <mergeCell ref="L94:M94"/>
    <mergeCell ref="N92:O92"/>
    <mergeCell ref="A93:B93"/>
    <mergeCell ref="C93:E93"/>
    <mergeCell ref="F93:G93"/>
    <mergeCell ref="H93:I93"/>
    <mergeCell ref="J93:K93"/>
    <mergeCell ref="L93:M93"/>
    <mergeCell ref="N93:O93"/>
    <mergeCell ref="A92:B92"/>
    <mergeCell ref="C92:E92"/>
    <mergeCell ref="F92:G92"/>
    <mergeCell ref="H92:I92"/>
    <mergeCell ref="J92:K92"/>
    <mergeCell ref="L92:M92"/>
    <mergeCell ref="N98:O98"/>
    <mergeCell ref="A99:B99"/>
    <mergeCell ref="C99:E99"/>
    <mergeCell ref="F99:G99"/>
    <mergeCell ref="H99:I99"/>
    <mergeCell ref="J99:K99"/>
    <mergeCell ref="L99:M99"/>
    <mergeCell ref="N99:O99"/>
    <mergeCell ref="A98:B98"/>
    <mergeCell ref="C98:E98"/>
    <mergeCell ref="F98:G98"/>
    <mergeCell ref="H98:I98"/>
    <mergeCell ref="J98:K98"/>
    <mergeCell ref="L98:M98"/>
    <mergeCell ref="N96:O96"/>
    <mergeCell ref="A97:B97"/>
    <mergeCell ref="C97:E97"/>
    <mergeCell ref="F97:G97"/>
    <mergeCell ref="H97:I97"/>
    <mergeCell ref="J97:K97"/>
    <mergeCell ref="L97:M97"/>
    <mergeCell ref="N97:O97"/>
    <mergeCell ref="A96:B96"/>
    <mergeCell ref="C96:E96"/>
    <mergeCell ref="F96:G96"/>
    <mergeCell ref="H96:I96"/>
    <mergeCell ref="J96:K96"/>
    <mergeCell ref="L96:M96"/>
    <mergeCell ref="N102:O102"/>
    <mergeCell ref="A103:B103"/>
    <mergeCell ref="C103:E103"/>
    <mergeCell ref="F103:G103"/>
    <mergeCell ref="H103:I103"/>
    <mergeCell ref="J103:K103"/>
    <mergeCell ref="L103:M103"/>
    <mergeCell ref="N103:O103"/>
    <mergeCell ref="A102:B102"/>
    <mergeCell ref="C102:E102"/>
    <mergeCell ref="F102:G102"/>
    <mergeCell ref="H102:I102"/>
    <mergeCell ref="J102:K102"/>
    <mergeCell ref="L102:M102"/>
    <mergeCell ref="N100:O100"/>
    <mergeCell ref="A101:B101"/>
    <mergeCell ref="C101:E101"/>
    <mergeCell ref="F101:G101"/>
    <mergeCell ref="H101:I101"/>
    <mergeCell ref="J101:K101"/>
    <mergeCell ref="L101:M101"/>
    <mergeCell ref="N101:O101"/>
    <mergeCell ref="A100:B100"/>
    <mergeCell ref="C100:E100"/>
    <mergeCell ref="F100:G100"/>
    <mergeCell ref="H100:I100"/>
    <mergeCell ref="J100:K100"/>
    <mergeCell ref="L100:M100"/>
    <mergeCell ref="N106:O106"/>
    <mergeCell ref="A107:B107"/>
    <mergeCell ref="C107:E107"/>
    <mergeCell ref="F107:G107"/>
    <mergeCell ref="H107:I107"/>
    <mergeCell ref="J107:K107"/>
    <mergeCell ref="L107:M107"/>
    <mergeCell ref="N107:O107"/>
    <mergeCell ref="A106:B106"/>
    <mergeCell ref="C106:E106"/>
    <mergeCell ref="F106:G106"/>
    <mergeCell ref="H106:I106"/>
    <mergeCell ref="J106:K106"/>
    <mergeCell ref="L106:M106"/>
    <mergeCell ref="N104:O104"/>
    <mergeCell ref="A105:B105"/>
    <mergeCell ref="C105:E105"/>
    <mergeCell ref="F105:G105"/>
    <mergeCell ref="H105:I105"/>
    <mergeCell ref="J105:K105"/>
    <mergeCell ref="L105:M105"/>
    <mergeCell ref="N105:O105"/>
    <mergeCell ref="A104:B104"/>
    <mergeCell ref="C104:E104"/>
    <mergeCell ref="F104:G104"/>
    <mergeCell ref="H104:I104"/>
    <mergeCell ref="J104:K104"/>
    <mergeCell ref="L104:M104"/>
    <mergeCell ref="N110:O110"/>
    <mergeCell ref="A111:B111"/>
    <mergeCell ref="C111:E111"/>
    <mergeCell ref="F111:G111"/>
    <mergeCell ref="H111:I111"/>
    <mergeCell ref="J111:K111"/>
    <mergeCell ref="L111:M111"/>
    <mergeCell ref="N111:O111"/>
    <mergeCell ref="A110:B110"/>
    <mergeCell ref="C110:E110"/>
    <mergeCell ref="F110:G110"/>
    <mergeCell ref="H110:I110"/>
    <mergeCell ref="J110:K110"/>
    <mergeCell ref="L110:M110"/>
    <mergeCell ref="N108:O108"/>
    <mergeCell ref="A109:B109"/>
    <mergeCell ref="C109:E109"/>
    <mergeCell ref="F109:G109"/>
    <mergeCell ref="H109:I109"/>
    <mergeCell ref="J109:K109"/>
    <mergeCell ref="L109:M109"/>
    <mergeCell ref="N109:O109"/>
    <mergeCell ref="A108:B108"/>
    <mergeCell ref="C108:E108"/>
    <mergeCell ref="F108:G108"/>
    <mergeCell ref="H108:I108"/>
    <mergeCell ref="J108:K108"/>
    <mergeCell ref="L108:M108"/>
    <mergeCell ref="N114:O114"/>
    <mergeCell ref="A115:B115"/>
    <mergeCell ref="C115:E115"/>
    <mergeCell ref="F115:G115"/>
    <mergeCell ref="H115:I115"/>
    <mergeCell ref="J115:K115"/>
    <mergeCell ref="L115:M115"/>
    <mergeCell ref="N115:O115"/>
    <mergeCell ref="A114:B114"/>
    <mergeCell ref="C114:E114"/>
    <mergeCell ref="F114:G114"/>
    <mergeCell ref="H114:I114"/>
    <mergeCell ref="J114:K114"/>
    <mergeCell ref="L114:M114"/>
    <mergeCell ref="N112:O112"/>
    <mergeCell ref="A113:B113"/>
    <mergeCell ref="C113:E113"/>
    <mergeCell ref="F113:G113"/>
    <mergeCell ref="H113:I113"/>
    <mergeCell ref="J113:K113"/>
    <mergeCell ref="L113:M113"/>
    <mergeCell ref="N113:O113"/>
    <mergeCell ref="A112:B112"/>
    <mergeCell ref="C112:E112"/>
    <mergeCell ref="F112:G112"/>
    <mergeCell ref="H112:I112"/>
    <mergeCell ref="J112:K112"/>
    <mergeCell ref="L112:M112"/>
    <mergeCell ref="N118:O118"/>
    <mergeCell ref="A119:B119"/>
    <mergeCell ref="C119:E119"/>
    <mergeCell ref="F119:G119"/>
    <mergeCell ref="H119:I119"/>
    <mergeCell ref="J119:K119"/>
    <mergeCell ref="L119:M119"/>
    <mergeCell ref="N119:O119"/>
    <mergeCell ref="A118:B118"/>
    <mergeCell ref="C118:E118"/>
    <mergeCell ref="F118:G118"/>
    <mergeCell ref="H118:I118"/>
    <mergeCell ref="J118:K118"/>
    <mergeCell ref="L118:M118"/>
    <mergeCell ref="N116:O116"/>
    <mergeCell ref="A117:B117"/>
    <mergeCell ref="C117:E117"/>
    <mergeCell ref="F117:G117"/>
    <mergeCell ref="H117:I117"/>
    <mergeCell ref="J117:K117"/>
    <mergeCell ref="L117:M117"/>
    <mergeCell ref="N117:O117"/>
    <mergeCell ref="A116:B116"/>
    <mergeCell ref="C116:E116"/>
    <mergeCell ref="F116:G116"/>
    <mergeCell ref="H116:I116"/>
    <mergeCell ref="J116:K116"/>
    <mergeCell ref="L116:M116"/>
    <mergeCell ref="N122:O122"/>
    <mergeCell ref="A123:B123"/>
    <mergeCell ref="C123:E123"/>
    <mergeCell ref="F123:G123"/>
    <mergeCell ref="H123:I123"/>
    <mergeCell ref="J123:K123"/>
    <mergeCell ref="L123:M123"/>
    <mergeCell ref="N123:O123"/>
    <mergeCell ref="A122:B122"/>
    <mergeCell ref="C122:E122"/>
    <mergeCell ref="F122:G122"/>
    <mergeCell ref="H122:I122"/>
    <mergeCell ref="J122:K122"/>
    <mergeCell ref="L122:M122"/>
    <mergeCell ref="N120:O120"/>
    <mergeCell ref="A121:B121"/>
    <mergeCell ref="C121:E121"/>
    <mergeCell ref="F121:G121"/>
    <mergeCell ref="H121:I121"/>
    <mergeCell ref="J121:K121"/>
    <mergeCell ref="L121:M121"/>
    <mergeCell ref="N121:O121"/>
    <mergeCell ref="A120:B120"/>
    <mergeCell ref="C120:E120"/>
    <mergeCell ref="F120:G120"/>
    <mergeCell ref="H120:I120"/>
    <mergeCell ref="J120:K120"/>
    <mergeCell ref="L120:M120"/>
    <mergeCell ref="N126:O126"/>
    <mergeCell ref="A127:B127"/>
    <mergeCell ref="C127:E127"/>
    <mergeCell ref="F127:G127"/>
    <mergeCell ref="H127:I127"/>
    <mergeCell ref="J127:K127"/>
    <mergeCell ref="L127:M127"/>
    <mergeCell ref="N127:O127"/>
    <mergeCell ref="A126:B126"/>
    <mergeCell ref="C126:E126"/>
    <mergeCell ref="F126:G126"/>
    <mergeCell ref="H126:I126"/>
    <mergeCell ref="J126:K126"/>
    <mergeCell ref="L126:M126"/>
    <mergeCell ref="N124:O124"/>
    <mergeCell ref="A125:B125"/>
    <mergeCell ref="C125:E125"/>
    <mergeCell ref="F125:G125"/>
    <mergeCell ref="H125:I125"/>
    <mergeCell ref="J125:K125"/>
    <mergeCell ref="L125:M125"/>
    <mergeCell ref="N125:O125"/>
    <mergeCell ref="A124:B124"/>
    <mergeCell ref="C124:E124"/>
    <mergeCell ref="F124:G124"/>
    <mergeCell ref="H124:I124"/>
    <mergeCell ref="J124:K124"/>
    <mergeCell ref="L124:M124"/>
    <mergeCell ref="N130:O130"/>
    <mergeCell ref="A131:B131"/>
    <mergeCell ref="C131:E131"/>
    <mergeCell ref="F131:G131"/>
    <mergeCell ref="H131:I131"/>
    <mergeCell ref="J131:K131"/>
    <mergeCell ref="L131:M131"/>
    <mergeCell ref="N131:O131"/>
    <mergeCell ref="A130:B130"/>
    <mergeCell ref="C130:E130"/>
    <mergeCell ref="F130:G130"/>
    <mergeCell ref="H130:I130"/>
    <mergeCell ref="J130:K130"/>
    <mergeCell ref="L130:M130"/>
    <mergeCell ref="N128:O128"/>
    <mergeCell ref="A129:B129"/>
    <mergeCell ref="C129:E129"/>
    <mergeCell ref="F129:G129"/>
    <mergeCell ref="H129:I129"/>
    <mergeCell ref="J129:K129"/>
    <mergeCell ref="L129:M129"/>
    <mergeCell ref="N129:O129"/>
    <mergeCell ref="A128:B128"/>
    <mergeCell ref="C128:E128"/>
    <mergeCell ref="F128:G128"/>
    <mergeCell ref="H128:I128"/>
    <mergeCell ref="J128:K128"/>
    <mergeCell ref="L128:M128"/>
    <mergeCell ref="N134:O134"/>
    <mergeCell ref="A135:B135"/>
    <mergeCell ref="C135:E135"/>
    <mergeCell ref="F135:G135"/>
    <mergeCell ref="H135:I135"/>
    <mergeCell ref="J135:K135"/>
    <mergeCell ref="L135:M135"/>
    <mergeCell ref="N135:O135"/>
    <mergeCell ref="A134:B134"/>
    <mergeCell ref="C134:E134"/>
    <mergeCell ref="F134:G134"/>
    <mergeCell ref="H134:I134"/>
    <mergeCell ref="J134:K134"/>
    <mergeCell ref="L134:M134"/>
    <mergeCell ref="N132:O132"/>
    <mergeCell ref="A133:B133"/>
    <mergeCell ref="C133:E133"/>
    <mergeCell ref="F133:G133"/>
    <mergeCell ref="H133:I133"/>
    <mergeCell ref="J133:K133"/>
    <mergeCell ref="L133:M133"/>
    <mergeCell ref="N133:O133"/>
    <mergeCell ref="A132:B132"/>
    <mergeCell ref="C132:E132"/>
    <mergeCell ref="F132:G132"/>
    <mergeCell ref="H132:I132"/>
    <mergeCell ref="J132:K132"/>
    <mergeCell ref="L132:M132"/>
    <mergeCell ref="N138:O138"/>
    <mergeCell ref="A139:B139"/>
    <mergeCell ref="C139:E139"/>
    <mergeCell ref="F139:G139"/>
    <mergeCell ref="H139:I139"/>
    <mergeCell ref="J139:K139"/>
    <mergeCell ref="L139:M139"/>
    <mergeCell ref="N139:O139"/>
    <mergeCell ref="A138:B138"/>
    <mergeCell ref="C138:E138"/>
    <mergeCell ref="F138:G138"/>
    <mergeCell ref="H138:I138"/>
    <mergeCell ref="J138:K138"/>
    <mergeCell ref="L138:M138"/>
    <mergeCell ref="N136:O136"/>
    <mergeCell ref="A137:B137"/>
    <mergeCell ref="C137:E137"/>
    <mergeCell ref="F137:G137"/>
    <mergeCell ref="H137:I137"/>
    <mergeCell ref="J137:K137"/>
    <mergeCell ref="L137:M137"/>
    <mergeCell ref="N137:O137"/>
    <mergeCell ref="A136:B136"/>
    <mergeCell ref="C136:E136"/>
    <mergeCell ref="F136:G136"/>
    <mergeCell ref="H136:I136"/>
    <mergeCell ref="J136:K136"/>
    <mergeCell ref="L136:M136"/>
    <mergeCell ref="N142:O142"/>
    <mergeCell ref="A143:B143"/>
    <mergeCell ref="C143:E143"/>
    <mergeCell ref="F143:G143"/>
    <mergeCell ref="H143:I143"/>
    <mergeCell ref="J143:K143"/>
    <mergeCell ref="L143:M143"/>
    <mergeCell ref="N143:O143"/>
    <mergeCell ref="A142:B142"/>
    <mergeCell ref="C142:E142"/>
    <mergeCell ref="F142:G142"/>
    <mergeCell ref="H142:I142"/>
    <mergeCell ref="J142:K142"/>
    <mergeCell ref="L142:M142"/>
    <mergeCell ref="N140:O140"/>
    <mergeCell ref="A141:B141"/>
    <mergeCell ref="C141:E141"/>
    <mergeCell ref="F141:G141"/>
    <mergeCell ref="H141:I141"/>
    <mergeCell ref="J141:K141"/>
    <mergeCell ref="L141:M141"/>
    <mergeCell ref="N141:O141"/>
    <mergeCell ref="A140:B140"/>
    <mergeCell ref="C140:E140"/>
    <mergeCell ref="F140:G140"/>
    <mergeCell ref="H140:I140"/>
    <mergeCell ref="J140:K140"/>
    <mergeCell ref="L140:M140"/>
    <mergeCell ref="N146:O146"/>
    <mergeCell ref="A147:B147"/>
    <mergeCell ref="C147:E147"/>
    <mergeCell ref="F147:G147"/>
    <mergeCell ref="H147:I147"/>
    <mergeCell ref="J147:K147"/>
    <mergeCell ref="L147:M147"/>
    <mergeCell ref="N147:O147"/>
    <mergeCell ref="A146:B146"/>
    <mergeCell ref="C146:E146"/>
    <mergeCell ref="F146:G146"/>
    <mergeCell ref="H146:I146"/>
    <mergeCell ref="J146:K146"/>
    <mergeCell ref="L146:M146"/>
    <mergeCell ref="N144:O144"/>
    <mergeCell ref="A145:B145"/>
    <mergeCell ref="C145:E145"/>
    <mergeCell ref="F145:G145"/>
    <mergeCell ref="H145:I145"/>
    <mergeCell ref="J145:K145"/>
    <mergeCell ref="L145:M145"/>
    <mergeCell ref="N145:O145"/>
    <mergeCell ref="A144:B144"/>
    <mergeCell ref="C144:E144"/>
    <mergeCell ref="F144:G144"/>
    <mergeCell ref="H144:I144"/>
    <mergeCell ref="J144:K144"/>
    <mergeCell ref="L144:M144"/>
    <mergeCell ref="N150:O150"/>
    <mergeCell ref="A151:B151"/>
    <mergeCell ref="C151:E151"/>
    <mergeCell ref="F151:G151"/>
    <mergeCell ref="H151:I151"/>
    <mergeCell ref="J151:K151"/>
    <mergeCell ref="L151:M151"/>
    <mergeCell ref="N151:O151"/>
    <mergeCell ref="A150:B150"/>
    <mergeCell ref="C150:E150"/>
    <mergeCell ref="F150:G150"/>
    <mergeCell ref="H150:I150"/>
    <mergeCell ref="J150:K150"/>
    <mergeCell ref="L150:M150"/>
    <mergeCell ref="N148:O148"/>
    <mergeCell ref="A149:B149"/>
    <mergeCell ref="C149:E149"/>
    <mergeCell ref="F149:G149"/>
    <mergeCell ref="H149:I149"/>
    <mergeCell ref="J149:K149"/>
    <mergeCell ref="L149:M149"/>
    <mergeCell ref="N149:O149"/>
    <mergeCell ref="A148:B148"/>
    <mergeCell ref="C148:E148"/>
    <mergeCell ref="F148:G148"/>
    <mergeCell ref="H148:I148"/>
    <mergeCell ref="J148:K148"/>
    <mergeCell ref="L148:M148"/>
    <mergeCell ref="N154:O154"/>
    <mergeCell ref="A155:B155"/>
    <mergeCell ref="C155:E155"/>
    <mergeCell ref="F155:G155"/>
    <mergeCell ref="H155:I155"/>
    <mergeCell ref="J155:K155"/>
    <mergeCell ref="L155:M155"/>
    <mergeCell ref="N155:O155"/>
    <mergeCell ref="A154:B154"/>
    <mergeCell ref="C154:E154"/>
    <mergeCell ref="F154:G154"/>
    <mergeCell ref="H154:I154"/>
    <mergeCell ref="J154:K154"/>
    <mergeCell ref="L154:M154"/>
    <mergeCell ref="N152:O152"/>
    <mergeCell ref="A153:B153"/>
    <mergeCell ref="C153:E153"/>
    <mergeCell ref="F153:G153"/>
    <mergeCell ref="H153:I153"/>
    <mergeCell ref="J153:K153"/>
    <mergeCell ref="L153:M153"/>
    <mergeCell ref="N153:O153"/>
    <mergeCell ref="A152:B152"/>
    <mergeCell ref="C152:E152"/>
    <mergeCell ref="F152:G152"/>
    <mergeCell ref="H152:I152"/>
    <mergeCell ref="J152:K152"/>
    <mergeCell ref="L152:M152"/>
    <mergeCell ref="N158:O158"/>
    <mergeCell ref="A159:B159"/>
    <mergeCell ref="C159:E159"/>
    <mergeCell ref="F159:G159"/>
    <mergeCell ref="H159:I159"/>
    <mergeCell ref="J159:K159"/>
    <mergeCell ref="L159:M159"/>
    <mergeCell ref="N159:O159"/>
    <mergeCell ref="A158:B158"/>
    <mergeCell ref="C158:E158"/>
    <mergeCell ref="F158:G158"/>
    <mergeCell ref="H158:I158"/>
    <mergeCell ref="J158:K158"/>
    <mergeCell ref="L158:M158"/>
    <mergeCell ref="N156:O156"/>
    <mergeCell ref="A157:B157"/>
    <mergeCell ref="C157:E157"/>
    <mergeCell ref="F157:G157"/>
    <mergeCell ref="H157:I157"/>
    <mergeCell ref="J157:K157"/>
    <mergeCell ref="L157:M157"/>
    <mergeCell ref="N157:O157"/>
    <mergeCell ref="A156:B156"/>
    <mergeCell ref="C156:E156"/>
    <mergeCell ref="F156:G156"/>
    <mergeCell ref="H156:I156"/>
    <mergeCell ref="J156:K156"/>
    <mergeCell ref="L156:M156"/>
    <mergeCell ref="N162:O162"/>
    <mergeCell ref="A163:B163"/>
    <mergeCell ref="C163:E163"/>
    <mergeCell ref="F163:G163"/>
    <mergeCell ref="H163:I163"/>
    <mergeCell ref="J163:K163"/>
    <mergeCell ref="L163:M163"/>
    <mergeCell ref="N163:O163"/>
    <mergeCell ref="A162:B162"/>
    <mergeCell ref="C162:E162"/>
    <mergeCell ref="F162:G162"/>
    <mergeCell ref="H162:I162"/>
    <mergeCell ref="J162:K162"/>
    <mergeCell ref="L162:M162"/>
    <mergeCell ref="N160:O160"/>
    <mergeCell ref="A161:B161"/>
    <mergeCell ref="C161:E161"/>
    <mergeCell ref="F161:G161"/>
    <mergeCell ref="H161:I161"/>
    <mergeCell ref="J161:K161"/>
    <mergeCell ref="L161:M161"/>
    <mergeCell ref="N161:O161"/>
    <mergeCell ref="A160:B160"/>
    <mergeCell ref="C160:E160"/>
    <mergeCell ref="F160:G160"/>
    <mergeCell ref="H160:I160"/>
    <mergeCell ref="J160:K160"/>
    <mergeCell ref="L160:M160"/>
    <mergeCell ref="N166:O166"/>
    <mergeCell ref="A167:B167"/>
    <mergeCell ref="C167:E167"/>
    <mergeCell ref="F167:G167"/>
    <mergeCell ref="H167:I167"/>
    <mergeCell ref="J167:K167"/>
    <mergeCell ref="L167:M167"/>
    <mergeCell ref="N167:O167"/>
    <mergeCell ref="A166:B166"/>
    <mergeCell ref="C166:E166"/>
    <mergeCell ref="F166:G166"/>
    <mergeCell ref="H166:I166"/>
    <mergeCell ref="J166:K166"/>
    <mergeCell ref="L166:M166"/>
    <mergeCell ref="N164:O164"/>
    <mergeCell ref="A165:B165"/>
    <mergeCell ref="C165:E165"/>
    <mergeCell ref="F165:G165"/>
    <mergeCell ref="H165:I165"/>
    <mergeCell ref="J165:K165"/>
    <mergeCell ref="L165:M165"/>
    <mergeCell ref="N165:O165"/>
    <mergeCell ref="A164:B164"/>
    <mergeCell ref="C164:E164"/>
    <mergeCell ref="F164:G164"/>
    <mergeCell ref="H164:I164"/>
    <mergeCell ref="J164:K164"/>
    <mergeCell ref="L164:M164"/>
    <mergeCell ref="N170:O170"/>
    <mergeCell ref="A171:B171"/>
    <mergeCell ref="C171:E171"/>
    <mergeCell ref="F171:G171"/>
    <mergeCell ref="H171:I171"/>
    <mergeCell ref="J171:K171"/>
    <mergeCell ref="L171:M171"/>
    <mergeCell ref="N171:O171"/>
    <mergeCell ref="A170:B170"/>
    <mergeCell ref="C170:E170"/>
    <mergeCell ref="F170:G170"/>
    <mergeCell ref="H170:I170"/>
    <mergeCell ref="J170:K170"/>
    <mergeCell ref="L170:M170"/>
    <mergeCell ref="N168:O168"/>
    <mergeCell ref="A169:B169"/>
    <mergeCell ref="C169:E169"/>
    <mergeCell ref="F169:G169"/>
    <mergeCell ref="H169:I169"/>
    <mergeCell ref="J169:K169"/>
    <mergeCell ref="L169:M169"/>
    <mergeCell ref="N169:O169"/>
    <mergeCell ref="A168:B168"/>
    <mergeCell ref="C168:E168"/>
    <mergeCell ref="F168:G168"/>
    <mergeCell ref="H168:I168"/>
    <mergeCell ref="J168:K168"/>
    <mergeCell ref="L168:M168"/>
    <mergeCell ref="N174:O174"/>
    <mergeCell ref="A175:B175"/>
    <mergeCell ref="C175:E175"/>
    <mergeCell ref="F175:G175"/>
    <mergeCell ref="H175:I175"/>
    <mergeCell ref="J175:K175"/>
    <mergeCell ref="L175:M175"/>
    <mergeCell ref="N175:O175"/>
    <mergeCell ref="A174:B174"/>
    <mergeCell ref="C174:E174"/>
    <mergeCell ref="F174:G174"/>
    <mergeCell ref="H174:I174"/>
    <mergeCell ref="J174:K174"/>
    <mergeCell ref="L174:M174"/>
    <mergeCell ref="N172:O172"/>
    <mergeCell ref="A173:B173"/>
    <mergeCell ref="C173:E173"/>
    <mergeCell ref="F173:G173"/>
    <mergeCell ref="H173:I173"/>
    <mergeCell ref="J173:K173"/>
    <mergeCell ref="L173:M173"/>
    <mergeCell ref="N173:O173"/>
    <mergeCell ref="A172:B172"/>
    <mergeCell ref="C172:E172"/>
    <mergeCell ref="F172:G172"/>
    <mergeCell ref="H172:I172"/>
    <mergeCell ref="J172:K172"/>
    <mergeCell ref="L172:M172"/>
    <mergeCell ref="N178:O178"/>
    <mergeCell ref="A179:B179"/>
    <mergeCell ref="C179:E179"/>
    <mergeCell ref="F179:G179"/>
    <mergeCell ref="H179:I179"/>
    <mergeCell ref="J179:K179"/>
    <mergeCell ref="L179:M179"/>
    <mergeCell ref="N179:O179"/>
    <mergeCell ref="A178:B178"/>
    <mergeCell ref="C178:E178"/>
    <mergeCell ref="F178:G178"/>
    <mergeCell ref="H178:I178"/>
    <mergeCell ref="J178:K178"/>
    <mergeCell ref="L178:M178"/>
    <mergeCell ref="N176:O176"/>
    <mergeCell ref="A177:B177"/>
    <mergeCell ref="C177:E177"/>
    <mergeCell ref="F177:G177"/>
    <mergeCell ref="H177:I177"/>
    <mergeCell ref="J177:K177"/>
    <mergeCell ref="L177:M177"/>
    <mergeCell ref="N177:O177"/>
    <mergeCell ref="A176:B176"/>
    <mergeCell ref="C176:E176"/>
    <mergeCell ref="F176:G176"/>
    <mergeCell ref="H176:I176"/>
    <mergeCell ref="J176:K176"/>
    <mergeCell ref="L176:M176"/>
    <mergeCell ref="N182:O182"/>
    <mergeCell ref="A183:B183"/>
    <mergeCell ref="C183:E183"/>
    <mergeCell ref="F183:G183"/>
    <mergeCell ref="H183:I183"/>
    <mergeCell ref="J183:K183"/>
    <mergeCell ref="L183:M183"/>
    <mergeCell ref="N183:O183"/>
    <mergeCell ref="A182:B182"/>
    <mergeCell ref="C182:E182"/>
    <mergeCell ref="F182:G182"/>
    <mergeCell ref="H182:I182"/>
    <mergeCell ref="J182:K182"/>
    <mergeCell ref="L182:M182"/>
    <mergeCell ref="N180:O180"/>
    <mergeCell ref="A181:B181"/>
    <mergeCell ref="C181:E181"/>
    <mergeCell ref="F181:G181"/>
    <mergeCell ref="H181:I181"/>
    <mergeCell ref="J181:K181"/>
    <mergeCell ref="L181:M181"/>
    <mergeCell ref="N181:O181"/>
    <mergeCell ref="A180:B180"/>
    <mergeCell ref="C180:E180"/>
    <mergeCell ref="F180:G180"/>
    <mergeCell ref="H180:I180"/>
    <mergeCell ref="J180:K180"/>
    <mergeCell ref="L180:M180"/>
    <mergeCell ref="N186:O186"/>
    <mergeCell ref="A187:B187"/>
    <mergeCell ref="C187:E187"/>
    <mergeCell ref="F187:G187"/>
    <mergeCell ref="H187:I187"/>
    <mergeCell ref="J187:K187"/>
    <mergeCell ref="L187:M187"/>
    <mergeCell ref="N187:O187"/>
    <mergeCell ref="A186:B186"/>
    <mergeCell ref="C186:E186"/>
    <mergeCell ref="F186:G186"/>
    <mergeCell ref="H186:I186"/>
    <mergeCell ref="J186:K186"/>
    <mergeCell ref="L186:M186"/>
    <mergeCell ref="N184:O184"/>
    <mergeCell ref="A185:B185"/>
    <mergeCell ref="C185:E185"/>
    <mergeCell ref="F185:G185"/>
    <mergeCell ref="H185:I185"/>
    <mergeCell ref="J185:K185"/>
    <mergeCell ref="L185:M185"/>
    <mergeCell ref="N185:O185"/>
    <mergeCell ref="A184:B184"/>
    <mergeCell ref="C184:E184"/>
    <mergeCell ref="F184:G184"/>
    <mergeCell ref="H184:I184"/>
    <mergeCell ref="J184:K184"/>
    <mergeCell ref="L184:M184"/>
    <mergeCell ref="N190:O190"/>
    <mergeCell ref="A191:B191"/>
    <mergeCell ref="C191:E191"/>
    <mergeCell ref="F191:G191"/>
    <mergeCell ref="H191:I191"/>
    <mergeCell ref="J191:K191"/>
    <mergeCell ref="L191:M191"/>
    <mergeCell ref="N191:O191"/>
    <mergeCell ref="A190:B190"/>
    <mergeCell ref="C190:E190"/>
    <mergeCell ref="F190:G190"/>
    <mergeCell ref="H190:I190"/>
    <mergeCell ref="J190:K190"/>
    <mergeCell ref="L190:M190"/>
    <mergeCell ref="N188:O188"/>
    <mergeCell ref="A189:B189"/>
    <mergeCell ref="C189:E189"/>
    <mergeCell ref="F189:G189"/>
    <mergeCell ref="H189:I189"/>
    <mergeCell ref="J189:K189"/>
    <mergeCell ref="L189:M189"/>
    <mergeCell ref="N189:O189"/>
    <mergeCell ref="A188:B188"/>
    <mergeCell ref="C188:E188"/>
    <mergeCell ref="F188:G188"/>
    <mergeCell ref="H188:I188"/>
    <mergeCell ref="J188:K188"/>
    <mergeCell ref="L188:M188"/>
    <mergeCell ref="N194:O194"/>
    <mergeCell ref="A195:B195"/>
    <mergeCell ref="C195:E195"/>
    <mergeCell ref="F195:G195"/>
    <mergeCell ref="H195:I195"/>
    <mergeCell ref="J195:K195"/>
    <mergeCell ref="L195:M195"/>
    <mergeCell ref="N195:O195"/>
    <mergeCell ref="A194:B194"/>
    <mergeCell ref="C194:E194"/>
    <mergeCell ref="F194:G194"/>
    <mergeCell ref="H194:I194"/>
    <mergeCell ref="J194:K194"/>
    <mergeCell ref="L194:M194"/>
    <mergeCell ref="N192:O192"/>
    <mergeCell ref="A193:B193"/>
    <mergeCell ref="C193:E193"/>
    <mergeCell ref="F193:G193"/>
    <mergeCell ref="H193:I193"/>
    <mergeCell ref="J193:K193"/>
    <mergeCell ref="L193:M193"/>
    <mergeCell ref="N193:O193"/>
    <mergeCell ref="A192:B192"/>
    <mergeCell ref="C192:E192"/>
    <mergeCell ref="F192:G192"/>
    <mergeCell ref="H192:I192"/>
    <mergeCell ref="J192:K192"/>
    <mergeCell ref="L192:M192"/>
    <mergeCell ref="N198:O198"/>
    <mergeCell ref="A199:B199"/>
    <mergeCell ref="C199:E199"/>
    <mergeCell ref="F199:G199"/>
    <mergeCell ref="H199:I199"/>
    <mergeCell ref="J199:K199"/>
    <mergeCell ref="L199:M199"/>
    <mergeCell ref="N199:O199"/>
    <mergeCell ref="A198:B198"/>
    <mergeCell ref="C198:E198"/>
    <mergeCell ref="F198:G198"/>
    <mergeCell ref="H198:I198"/>
    <mergeCell ref="J198:K198"/>
    <mergeCell ref="L198:M198"/>
    <mergeCell ref="N196:O196"/>
    <mergeCell ref="A197:B197"/>
    <mergeCell ref="C197:E197"/>
    <mergeCell ref="F197:G197"/>
    <mergeCell ref="H197:I197"/>
    <mergeCell ref="J197:K197"/>
    <mergeCell ref="L197:M197"/>
    <mergeCell ref="N197:O197"/>
    <mergeCell ref="A196:B196"/>
    <mergeCell ref="C196:E196"/>
    <mergeCell ref="F196:G196"/>
    <mergeCell ref="H196:I196"/>
    <mergeCell ref="J196:K196"/>
    <mergeCell ref="L196:M196"/>
    <mergeCell ref="N202:O202"/>
    <mergeCell ref="A203:B203"/>
    <mergeCell ref="C203:E203"/>
    <mergeCell ref="F203:G203"/>
    <mergeCell ref="H203:I203"/>
    <mergeCell ref="J203:K203"/>
    <mergeCell ref="L203:M203"/>
    <mergeCell ref="N203:O203"/>
    <mergeCell ref="A202:B202"/>
    <mergeCell ref="C202:E202"/>
    <mergeCell ref="F202:G202"/>
    <mergeCell ref="H202:I202"/>
    <mergeCell ref="J202:K202"/>
    <mergeCell ref="L202:M202"/>
    <mergeCell ref="N200:O200"/>
    <mergeCell ref="A201:B201"/>
    <mergeCell ref="C201:E201"/>
    <mergeCell ref="F201:G201"/>
    <mergeCell ref="H201:I201"/>
    <mergeCell ref="J201:K201"/>
    <mergeCell ref="L201:M201"/>
    <mergeCell ref="N201:O201"/>
    <mergeCell ref="A200:B200"/>
    <mergeCell ref="C200:E200"/>
    <mergeCell ref="F200:G200"/>
    <mergeCell ref="H200:I200"/>
    <mergeCell ref="J200:K200"/>
    <mergeCell ref="L200:M200"/>
    <mergeCell ref="N206:O206"/>
    <mergeCell ref="A207:B207"/>
    <mergeCell ref="C207:E207"/>
    <mergeCell ref="F207:G207"/>
    <mergeCell ref="H207:I207"/>
    <mergeCell ref="J207:K207"/>
    <mergeCell ref="L207:M207"/>
    <mergeCell ref="N207:O207"/>
    <mergeCell ref="A206:B206"/>
    <mergeCell ref="C206:E206"/>
    <mergeCell ref="F206:G206"/>
    <mergeCell ref="H206:I206"/>
    <mergeCell ref="J206:K206"/>
    <mergeCell ref="L206:M206"/>
    <mergeCell ref="N204:O204"/>
    <mergeCell ref="A205:B205"/>
    <mergeCell ref="C205:E205"/>
    <mergeCell ref="F205:G205"/>
    <mergeCell ref="H205:I205"/>
    <mergeCell ref="J205:K205"/>
    <mergeCell ref="L205:M205"/>
    <mergeCell ref="N205:O205"/>
    <mergeCell ref="A204:B204"/>
    <mergeCell ref="C204:E204"/>
    <mergeCell ref="F204:G204"/>
    <mergeCell ref="H204:I204"/>
    <mergeCell ref="J204:K204"/>
    <mergeCell ref="L204:M204"/>
    <mergeCell ref="N210:O210"/>
    <mergeCell ref="A211:B211"/>
    <mergeCell ref="C211:E211"/>
    <mergeCell ref="F211:G211"/>
    <mergeCell ref="H211:I211"/>
    <mergeCell ref="J211:K211"/>
    <mergeCell ref="L211:M211"/>
    <mergeCell ref="N211:O211"/>
    <mergeCell ref="A210:B210"/>
    <mergeCell ref="C210:E210"/>
    <mergeCell ref="F210:G210"/>
    <mergeCell ref="H210:I210"/>
    <mergeCell ref="J210:K210"/>
    <mergeCell ref="L210:M210"/>
    <mergeCell ref="N208:O208"/>
    <mergeCell ref="A209:B209"/>
    <mergeCell ref="C209:E209"/>
    <mergeCell ref="F209:G209"/>
    <mergeCell ref="H209:I209"/>
    <mergeCell ref="J209:K209"/>
    <mergeCell ref="L209:M209"/>
    <mergeCell ref="N209:O209"/>
    <mergeCell ref="A208:B208"/>
    <mergeCell ref="C208:E208"/>
    <mergeCell ref="F208:G208"/>
    <mergeCell ref="H208:I208"/>
    <mergeCell ref="J208:K208"/>
    <mergeCell ref="L208:M208"/>
    <mergeCell ref="N214:O214"/>
    <mergeCell ref="A215:B215"/>
    <mergeCell ref="C215:E215"/>
    <mergeCell ref="F215:G215"/>
    <mergeCell ref="H215:I215"/>
    <mergeCell ref="J215:K215"/>
    <mergeCell ref="L215:M215"/>
    <mergeCell ref="N215:O215"/>
    <mergeCell ref="A214:B214"/>
    <mergeCell ref="C214:E214"/>
    <mergeCell ref="F214:G214"/>
    <mergeCell ref="H214:I214"/>
    <mergeCell ref="J214:K214"/>
    <mergeCell ref="L214:M214"/>
    <mergeCell ref="N212:O212"/>
    <mergeCell ref="A213:B213"/>
    <mergeCell ref="C213:E213"/>
    <mergeCell ref="F213:G213"/>
    <mergeCell ref="H213:I213"/>
    <mergeCell ref="J213:K213"/>
    <mergeCell ref="L213:M213"/>
    <mergeCell ref="N213:O213"/>
    <mergeCell ref="A212:B212"/>
    <mergeCell ref="C212:E212"/>
    <mergeCell ref="F212:G212"/>
    <mergeCell ref="H212:I212"/>
    <mergeCell ref="J212:K212"/>
    <mergeCell ref="L212:M212"/>
    <mergeCell ref="N218:O218"/>
    <mergeCell ref="A219:B219"/>
    <mergeCell ref="C219:E219"/>
    <mergeCell ref="F219:G219"/>
    <mergeCell ref="H219:I219"/>
    <mergeCell ref="J219:K219"/>
    <mergeCell ref="L219:M219"/>
    <mergeCell ref="N219:O219"/>
    <mergeCell ref="A218:B218"/>
    <mergeCell ref="C218:E218"/>
    <mergeCell ref="F218:G218"/>
    <mergeCell ref="H218:I218"/>
    <mergeCell ref="J218:K218"/>
    <mergeCell ref="L218:M218"/>
    <mergeCell ref="N216:O216"/>
    <mergeCell ref="A217:B217"/>
    <mergeCell ref="C217:E217"/>
    <mergeCell ref="F217:G217"/>
    <mergeCell ref="H217:I217"/>
    <mergeCell ref="J217:K217"/>
    <mergeCell ref="L217:M217"/>
    <mergeCell ref="N217:O217"/>
    <mergeCell ref="A216:B216"/>
    <mergeCell ref="C216:E216"/>
    <mergeCell ref="F216:G216"/>
    <mergeCell ref="H216:I216"/>
    <mergeCell ref="J216:K216"/>
    <mergeCell ref="L216:M216"/>
    <mergeCell ref="N222:O222"/>
    <mergeCell ref="A223:B223"/>
    <mergeCell ref="C223:E223"/>
    <mergeCell ref="F223:G223"/>
    <mergeCell ref="H223:I223"/>
    <mergeCell ref="J223:K223"/>
    <mergeCell ref="L223:M223"/>
    <mergeCell ref="N223:O223"/>
    <mergeCell ref="A222:B222"/>
    <mergeCell ref="C222:E222"/>
    <mergeCell ref="F222:G222"/>
    <mergeCell ref="H222:I222"/>
    <mergeCell ref="J222:K222"/>
    <mergeCell ref="L222:M222"/>
    <mergeCell ref="N220:O220"/>
    <mergeCell ref="A221:B221"/>
    <mergeCell ref="C221:E221"/>
    <mergeCell ref="F221:G221"/>
    <mergeCell ref="H221:I221"/>
    <mergeCell ref="J221:K221"/>
    <mergeCell ref="L221:M221"/>
    <mergeCell ref="N221:O221"/>
    <mergeCell ref="A220:B220"/>
    <mergeCell ref="C220:E220"/>
    <mergeCell ref="F220:G220"/>
    <mergeCell ref="H220:I220"/>
    <mergeCell ref="J220:K220"/>
    <mergeCell ref="L220:M220"/>
    <mergeCell ref="N226:O226"/>
    <mergeCell ref="A227:B227"/>
    <mergeCell ref="C227:E227"/>
    <mergeCell ref="F227:G227"/>
    <mergeCell ref="H227:I227"/>
    <mergeCell ref="J227:K227"/>
    <mergeCell ref="L227:M227"/>
    <mergeCell ref="N227:O227"/>
    <mergeCell ref="A226:B226"/>
    <mergeCell ref="C226:E226"/>
    <mergeCell ref="F226:G226"/>
    <mergeCell ref="H226:I226"/>
    <mergeCell ref="J226:K226"/>
    <mergeCell ref="L226:M226"/>
    <mergeCell ref="N224:O224"/>
    <mergeCell ref="A225:B225"/>
    <mergeCell ref="C225:E225"/>
    <mergeCell ref="F225:G225"/>
    <mergeCell ref="H225:I225"/>
    <mergeCell ref="J225:K225"/>
    <mergeCell ref="L225:M225"/>
    <mergeCell ref="N225:O225"/>
    <mergeCell ref="A224:B224"/>
    <mergeCell ref="C224:E224"/>
    <mergeCell ref="F224:G224"/>
    <mergeCell ref="H224:I224"/>
    <mergeCell ref="J224:K224"/>
    <mergeCell ref="L224:M224"/>
    <mergeCell ref="N230:O230"/>
    <mergeCell ref="A231:B231"/>
    <mergeCell ref="C231:E231"/>
    <mergeCell ref="F231:G231"/>
    <mergeCell ref="H231:I231"/>
    <mergeCell ref="J231:K231"/>
    <mergeCell ref="L231:M231"/>
    <mergeCell ref="N231:O231"/>
    <mergeCell ref="A230:B230"/>
    <mergeCell ref="C230:E230"/>
    <mergeCell ref="F230:G230"/>
    <mergeCell ref="H230:I230"/>
    <mergeCell ref="J230:K230"/>
    <mergeCell ref="L230:M230"/>
    <mergeCell ref="N228:O228"/>
    <mergeCell ref="A229:B229"/>
    <mergeCell ref="C229:E229"/>
    <mergeCell ref="F229:G229"/>
    <mergeCell ref="H229:I229"/>
    <mergeCell ref="J229:K229"/>
    <mergeCell ref="L229:M229"/>
    <mergeCell ref="N229:O229"/>
    <mergeCell ref="A228:B228"/>
    <mergeCell ref="C228:E228"/>
    <mergeCell ref="F228:G228"/>
    <mergeCell ref="H228:I228"/>
    <mergeCell ref="J228:K228"/>
    <mergeCell ref="L228:M228"/>
    <mergeCell ref="N234:O234"/>
    <mergeCell ref="A235:B235"/>
    <mergeCell ref="C235:E235"/>
    <mergeCell ref="F235:G235"/>
    <mergeCell ref="H235:I235"/>
    <mergeCell ref="J235:K235"/>
    <mergeCell ref="L235:M235"/>
    <mergeCell ref="N235:O235"/>
    <mergeCell ref="A234:B234"/>
    <mergeCell ref="C234:E234"/>
    <mergeCell ref="F234:G234"/>
    <mergeCell ref="H234:I234"/>
    <mergeCell ref="J234:K234"/>
    <mergeCell ref="L234:M234"/>
    <mergeCell ref="N232:O232"/>
    <mergeCell ref="A233:B233"/>
    <mergeCell ref="C233:E233"/>
    <mergeCell ref="F233:G233"/>
    <mergeCell ref="H233:I233"/>
    <mergeCell ref="J233:K233"/>
    <mergeCell ref="L233:M233"/>
    <mergeCell ref="N233:O233"/>
    <mergeCell ref="A232:B232"/>
    <mergeCell ref="C232:E232"/>
    <mergeCell ref="F232:G232"/>
    <mergeCell ref="H232:I232"/>
    <mergeCell ref="J232:K232"/>
    <mergeCell ref="L232:M232"/>
    <mergeCell ref="N238:O238"/>
    <mergeCell ref="A239:B239"/>
    <mergeCell ref="C239:E239"/>
    <mergeCell ref="F239:G239"/>
    <mergeCell ref="H239:I239"/>
    <mergeCell ref="J239:K239"/>
    <mergeCell ref="L239:M239"/>
    <mergeCell ref="N239:O239"/>
    <mergeCell ref="A238:B238"/>
    <mergeCell ref="C238:E238"/>
    <mergeCell ref="F238:G238"/>
    <mergeCell ref="H238:I238"/>
    <mergeCell ref="J238:K238"/>
    <mergeCell ref="L238:M238"/>
    <mergeCell ref="N236:O236"/>
    <mergeCell ref="A237:B237"/>
    <mergeCell ref="C237:E237"/>
    <mergeCell ref="F237:G237"/>
    <mergeCell ref="H237:I237"/>
    <mergeCell ref="J237:K237"/>
    <mergeCell ref="L237:M237"/>
    <mergeCell ref="N237:O237"/>
    <mergeCell ref="A236:B236"/>
    <mergeCell ref="C236:E236"/>
    <mergeCell ref="F236:G236"/>
    <mergeCell ref="H236:I236"/>
    <mergeCell ref="J236:K236"/>
    <mergeCell ref="L236:M236"/>
    <mergeCell ref="N242:O242"/>
    <mergeCell ref="A243:B243"/>
    <mergeCell ref="C243:E243"/>
    <mergeCell ref="F243:G243"/>
    <mergeCell ref="H243:I243"/>
    <mergeCell ref="J243:K243"/>
    <mergeCell ref="L243:M243"/>
    <mergeCell ref="N243:O243"/>
    <mergeCell ref="A242:B242"/>
    <mergeCell ref="C242:E242"/>
    <mergeCell ref="F242:G242"/>
    <mergeCell ref="H242:I242"/>
    <mergeCell ref="J242:K242"/>
    <mergeCell ref="L242:M242"/>
    <mergeCell ref="N240:O240"/>
    <mergeCell ref="A241:B241"/>
    <mergeCell ref="C241:E241"/>
    <mergeCell ref="F241:G241"/>
    <mergeCell ref="H241:I241"/>
    <mergeCell ref="J241:K241"/>
    <mergeCell ref="L241:M241"/>
    <mergeCell ref="N241:O241"/>
    <mergeCell ref="A240:B240"/>
    <mergeCell ref="C240:E240"/>
    <mergeCell ref="F240:G240"/>
    <mergeCell ref="H240:I240"/>
    <mergeCell ref="J240:K240"/>
    <mergeCell ref="L240:M240"/>
    <mergeCell ref="N246:O246"/>
    <mergeCell ref="A247:B247"/>
    <mergeCell ref="C247:E247"/>
    <mergeCell ref="F247:G247"/>
    <mergeCell ref="H247:I247"/>
    <mergeCell ref="J247:K247"/>
    <mergeCell ref="L247:M247"/>
    <mergeCell ref="N247:O247"/>
    <mergeCell ref="A246:B246"/>
    <mergeCell ref="C246:E246"/>
    <mergeCell ref="F246:G246"/>
    <mergeCell ref="H246:I246"/>
    <mergeCell ref="J246:K246"/>
    <mergeCell ref="L246:M246"/>
    <mergeCell ref="N244:O244"/>
    <mergeCell ref="A245:B245"/>
    <mergeCell ref="C245:E245"/>
    <mergeCell ref="F245:G245"/>
    <mergeCell ref="H245:I245"/>
    <mergeCell ref="J245:K245"/>
    <mergeCell ref="L245:M245"/>
    <mergeCell ref="N245:O245"/>
    <mergeCell ref="A244:B244"/>
    <mergeCell ref="C244:E244"/>
    <mergeCell ref="F244:G244"/>
    <mergeCell ref="H244:I244"/>
    <mergeCell ref="J244:K244"/>
    <mergeCell ref="L244:M244"/>
    <mergeCell ref="N250:O250"/>
    <mergeCell ref="A251:B251"/>
    <mergeCell ref="C251:E251"/>
    <mergeCell ref="F251:G251"/>
    <mergeCell ref="H251:I251"/>
    <mergeCell ref="J251:K251"/>
    <mergeCell ref="L251:M251"/>
    <mergeCell ref="N251:O251"/>
    <mergeCell ref="A250:B250"/>
    <mergeCell ref="C250:E250"/>
    <mergeCell ref="F250:G250"/>
    <mergeCell ref="H250:I250"/>
    <mergeCell ref="J250:K250"/>
    <mergeCell ref="L250:M250"/>
    <mergeCell ref="N248:O248"/>
    <mergeCell ref="A249:B249"/>
    <mergeCell ref="C249:E249"/>
    <mergeCell ref="F249:G249"/>
    <mergeCell ref="H249:I249"/>
    <mergeCell ref="J249:K249"/>
    <mergeCell ref="L249:M249"/>
    <mergeCell ref="N249:O249"/>
    <mergeCell ref="A248:B248"/>
    <mergeCell ref="C248:E248"/>
    <mergeCell ref="F248:G248"/>
    <mergeCell ref="H248:I248"/>
    <mergeCell ref="J248:K248"/>
    <mergeCell ref="L248:M248"/>
    <mergeCell ref="N254:O254"/>
    <mergeCell ref="A255:B257"/>
    <mergeCell ref="C255:E255"/>
    <mergeCell ref="F255:G257"/>
    <mergeCell ref="H255:I257"/>
    <mergeCell ref="J255:K257"/>
    <mergeCell ref="L255:M257"/>
    <mergeCell ref="N255:O257"/>
    <mergeCell ref="C256:E256"/>
    <mergeCell ref="C257:E257"/>
    <mergeCell ref="A254:B254"/>
    <mergeCell ref="C254:E254"/>
    <mergeCell ref="F254:G254"/>
    <mergeCell ref="H254:I254"/>
    <mergeCell ref="J254:K254"/>
    <mergeCell ref="L254:M254"/>
    <mergeCell ref="N252:O252"/>
    <mergeCell ref="A253:B253"/>
    <mergeCell ref="C253:E253"/>
    <mergeCell ref="F253:G253"/>
    <mergeCell ref="H253:I253"/>
    <mergeCell ref="J253:K253"/>
    <mergeCell ref="L253:M253"/>
    <mergeCell ref="N253:O253"/>
    <mergeCell ref="A252:B252"/>
    <mergeCell ref="C252:E252"/>
    <mergeCell ref="F252:G252"/>
    <mergeCell ref="H252:I252"/>
    <mergeCell ref="J252:K252"/>
    <mergeCell ref="L252:M252"/>
    <mergeCell ref="N260:O260"/>
    <mergeCell ref="A261:B263"/>
    <mergeCell ref="C261:E261"/>
    <mergeCell ref="F261:G263"/>
    <mergeCell ref="H261:I263"/>
    <mergeCell ref="J261:K263"/>
    <mergeCell ref="L261:M263"/>
    <mergeCell ref="N261:O263"/>
    <mergeCell ref="C262:E262"/>
    <mergeCell ref="C263:E263"/>
    <mergeCell ref="A260:B260"/>
    <mergeCell ref="C260:E260"/>
    <mergeCell ref="F260:G260"/>
    <mergeCell ref="H260:I260"/>
    <mergeCell ref="J260:K260"/>
    <mergeCell ref="L260:M260"/>
    <mergeCell ref="N258:O258"/>
    <mergeCell ref="A259:B259"/>
    <mergeCell ref="C259:E259"/>
    <mergeCell ref="F259:G259"/>
    <mergeCell ref="H259:I259"/>
    <mergeCell ref="J259:K259"/>
    <mergeCell ref="L259:M259"/>
    <mergeCell ref="N259:O259"/>
    <mergeCell ref="A258:B258"/>
    <mergeCell ref="C258:E258"/>
    <mergeCell ref="F258:G258"/>
    <mergeCell ref="H258:I258"/>
    <mergeCell ref="J258:K258"/>
    <mergeCell ref="L258:M258"/>
    <mergeCell ref="N266:O268"/>
    <mergeCell ref="C267:E267"/>
    <mergeCell ref="C268:E268"/>
    <mergeCell ref="A269:B269"/>
    <mergeCell ref="C269:E269"/>
    <mergeCell ref="F269:G269"/>
    <mergeCell ref="H269:I269"/>
    <mergeCell ref="J269:K269"/>
    <mergeCell ref="L269:M269"/>
    <mergeCell ref="N269:O269"/>
    <mergeCell ref="A266:B268"/>
    <mergeCell ref="C266:E266"/>
    <mergeCell ref="F266:G268"/>
    <mergeCell ref="H266:I268"/>
    <mergeCell ref="J266:K268"/>
    <mergeCell ref="L266:M268"/>
    <mergeCell ref="N264:O264"/>
    <mergeCell ref="A265:B265"/>
    <mergeCell ref="C265:E265"/>
    <mergeCell ref="F265:G265"/>
    <mergeCell ref="H265:I265"/>
    <mergeCell ref="J265:K265"/>
    <mergeCell ref="L265:M265"/>
    <mergeCell ref="N265:O265"/>
    <mergeCell ref="A264:B264"/>
    <mergeCell ref="C264:E264"/>
    <mergeCell ref="F264:G264"/>
    <mergeCell ref="H264:I264"/>
    <mergeCell ref="J264:K264"/>
    <mergeCell ref="L264:M264"/>
    <mergeCell ref="N272:O272"/>
    <mergeCell ref="A273:B273"/>
    <mergeCell ref="C273:E273"/>
    <mergeCell ref="F273:G273"/>
    <mergeCell ref="H273:I273"/>
    <mergeCell ref="J273:K273"/>
    <mergeCell ref="L273:M273"/>
    <mergeCell ref="N273:O273"/>
    <mergeCell ref="A272:B272"/>
    <mergeCell ref="C272:E272"/>
    <mergeCell ref="F272:G272"/>
    <mergeCell ref="H272:I272"/>
    <mergeCell ref="J272:K272"/>
    <mergeCell ref="L272:M272"/>
    <mergeCell ref="N270:O270"/>
    <mergeCell ref="A271:B271"/>
    <mergeCell ref="C271:E271"/>
    <mergeCell ref="F271:G271"/>
    <mergeCell ref="H271:I271"/>
    <mergeCell ref="J271:K271"/>
    <mergeCell ref="L271:M271"/>
    <mergeCell ref="N271:O271"/>
    <mergeCell ref="A270:B270"/>
    <mergeCell ref="C270:E270"/>
    <mergeCell ref="F270:G270"/>
    <mergeCell ref="H270:I270"/>
    <mergeCell ref="J270:K270"/>
    <mergeCell ref="L270:M270"/>
    <mergeCell ref="N276:O276"/>
    <mergeCell ref="A277:B279"/>
    <mergeCell ref="C277:E277"/>
    <mergeCell ref="F277:G279"/>
    <mergeCell ref="H277:I279"/>
    <mergeCell ref="J277:K279"/>
    <mergeCell ref="L277:M279"/>
    <mergeCell ref="N277:O279"/>
    <mergeCell ref="C278:E278"/>
    <mergeCell ref="C279:E279"/>
    <mergeCell ref="A276:B276"/>
    <mergeCell ref="C276:E276"/>
    <mergeCell ref="F276:G276"/>
    <mergeCell ref="H276:I276"/>
    <mergeCell ref="J276:K276"/>
    <mergeCell ref="L276:M276"/>
    <mergeCell ref="N274:O274"/>
    <mergeCell ref="A275:B275"/>
    <mergeCell ref="C275:E275"/>
    <mergeCell ref="F275:G275"/>
    <mergeCell ref="H275:I275"/>
    <mergeCell ref="J275:K275"/>
    <mergeCell ref="L275:M275"/>
    <mergeCell ref="N275:O275"/>
    <mergeCell ref="A274:B274"/>
    <mergeCell ref="C274:E274"/>
    <mergeCell ref="F274:G274"/>
    <mergeCell ref="H274:I274"/>
    <mergeCell ref="J274:K274"/>
    <mergeCell ref="L274:M274"/>
    <mergeCell ref="C284:E284"/>
    <mergeCell ref="C285:E285"/>
    <mergeCell ref="A286:B286"/>
    <mergeCell ref="C286:E286"/>
    <mergeCell ref="F286:G286"/>
    <mergeCell ref="H286:I286"/>
    <mergeCell ref="N280:O282"/>
    <mergeCell ref="C281:E281"/>
    <mergeCell ref="C282:E282"/>
    <mergeCell ref="A283:B285"/>
    <mergeCell ref="C283:E283"/>
    <mergeCell ref="F283:G285"/>
    <mergeCell ref="H283:I285"/>
    <mergeCell ref="J283:K285"/>
    <mergeCell ref="L283:M285"/>
    <mergeCell ref="N283:O285"/>
    <mergeCell ref="A280:B282"/>
    <mergeCell ref="C280:E280"/>
    <mergeCell ref="F280:G282"/>
    <mergeCell ref="H280:I282"/>
    <mergeCell ref="J280:K282"/>
    <mergeCell ref="L280:M282"/>
    <mergeCell ref="N288:O288"/>
    <mergeCell ref="A289:B289"/>
    <mergeCell ref="C289:E289"/>
    <mergeCell ref="F289:G289"/>
    <mergeCell ref="H289:I289"/>
    <mergeCell ref="J289:K289"/>
    <mergeCell ref="L289:M289"/>
    <mergeCell ref="N289:O289"/>
    <mergeCell ref="A288:B288"/>
    <mergeCell ref="C288:E288"/>
    <mergeCell ref="F288:G288"/>
    <mergeCell ref="H288:I288"/>
    <mergeCell ref="J288:K288"/>
    <mergeCell ref="L288:M288"/>
    <mergeCell ref="J286:K286"/>
    <mergeCell ref="L286:M286"/>
    <mergeCell ref="N286:O286"/>
    <mergeCell ref="A287:B287"/>
    <mergeCell ref="C287:E287"/>
    <mergeCell ref="F287:G287"/>
    <mergeCell ref="H287:I287"/>
    <mergeCell ref="J287:K287"/>
    <mergeCell ref="L287:M287"/>
    <mergeCell ref="N287:O287"/>
    <mergeCell ref="N292:O292"/>
    <mergeCell ref="A293:B293"/>
    <mergeCell ref="C293:E293"/>
    <mergeCell ref="F293:G293"/>
    <mergeCell ref="H293:I293"/>
    <mergeCell ref="J293:K293"/>
    <mergeCell ref="L293:M293"/>
    <mergeCell ref="N293:O293"/>
    <mergeCell ref="A292:B292"/>
    <mergeCell ref="C292:E292"/>
    <mergeCell ref="F292:G292"/>
    <mergeCell ref="H292:I292"/>
    <mergeCell ref="J292:K292"/>
    <mergeCell ref="L292:M292"/>
    <mergeCell ref="N290:O290"/>
    <mergeCell ref="A291:B291"/>
    <mergeCell ref="C291:E291"/>
    <mergeCell ref="F291:G291"/>
    <mergeCell ref="H291:I291"/>
    <mergeCell ref="J291:K291"/>
    <mergeCell ref="L291:M291"/>
    <mergeCell ref="N291:O291"/>
    <mergeCell ref="A290:B290"/>
    <mergeCell ref="C290:E290"/>
    <mergeCell ref="F290:G290"/>
    <mergeCell ref="H290:I290"/>
    <mergeCell ref="J290:K290"/>
    <mergeCell ref="L290:M290"/>
    <mergeCell ref="N296:O296"/>
    <mergeCell ref="A297:B297"/>
    <mergeCell ref="C297:E297"/>
    <mergeCell ref="F297:G297"/>
    <mergeCell ref="H297:I297"/>
    <mergeCell ref="J297:K297"/>
    <mergeCell ref="L297:M297"/>
    <mergeCell ref="N297:O297"/>
    <mergeCell ref="A296:B296"/>
    <mergeCell ref="C296:E296"/>
    <mergeCell ref="F296:G296"/>
    <mergeCell ref="H296:I296"/>
    <mergeCell ref="J296:K296"/>
    <mergeCell ref="L296:M296"/>
    <mergeCell ref="N294:O294"/>
    <mergeCell ref="A295:B295"/>
    <mergeCell ref="C295:E295"/>
    <mergeCell ref="F295:G295"/>
    <mergeCell ref="H295:I295"/>
    <mergeCell ref="J295:K295"/>
    <mergeCell ref="L295:M295"/>
    <mergeCell ref="N295:O295"/>
    <mergeCell ref="A294:B294"/>
    <mergeCell ref="C294:E294"/>
    <mergeCell ref="F294:G294"/>
    <mergeCell ref="H294:I294"/>
    <mergeCell ref="J294:K294"/>
    <mergeCell ref="L294:M294"/>
    <mergeCell ref="N300:O300"/>
    <mergeCell ref="A301:B301"/>
    <mergeCell ref="C301:E301"/>
    <mergeCell ref="F301:G301"/>
    <mergeCell ref="H301:I301"/>
    <mergeCell ref="J301:K301"/>
    <mergeCell ref="L301:M301"/>
    <mergeCell ref="N301:O301"/>
    <mergeCell ref="A300:B300"/>
    <mergeCell ref="C300:E300"/>
    <mergeCell ref="F300:G300"/>
    <mergeCell ref="H300:I300"/>
    <mergeCell ref="J300:K300"/>
    <mergeCell ref="L300:M300"/>
    <mergeCell ref="N298:O298"/>
    <mergeCell ref="A299:B299"/>
    <mergeCell ref="C299:E299"/>
    <mergeCell ref="F299:G299"/>
    <mergeCell ref="H299:I299"/>
    <mergeCell ref="J299:K299"/>
    <mergeCell ref="L299:M299"/>
    <mergeCell ref="N299:O299"/>
    <mergeCell ref="A298:B298"/>
    <mergeCell ref="C298:E298"/>
    <mergeCell ref="F298:G298"/>
    <mergeCell ref="H298:I298"/>
    <mergeCell ref="J298:K298"/>
    <mergeCell ref="L298:M298"/>
    <mergeCell ref="N304:O304"/>
    <mergeCell ref="A305:B305"/>
    <mergeCell ref="C305:E305"/>
    <mergeCell ref="F305:G305"/>
    <mergeCell ref="H305:I305"/>
    <mergeCell ref="J305:K305"/>
    <mergeCell ref="L305:M305"/>
    <mergeCell ref="N305:O305"/>
    <mergeCell ref="A304:B304"/>
    <mergeCell ref="C304:E304"/>
    <mergeCell ref="F304:G304"/>
    <mergeCell ref="H304:I304"/>
    <mergeCell ref="J304:K304"/>
    <mergeCell ref="L304:M304"/>
    <mergeCell ref="N302:O302"/>
    <mergeCell ref="A303:B303"/>
    <mergeCell ref="C303:E303"/>
    <mergeCell ref="F303:G303"/>
    <mergeCell ref="H303:I303"/>
    <mergeCell ref="J303:K303"/>
    <mergeCell ref="L303:M303"/>
    <mergeCell ref="N303:O303"/>
    <mergeCell ref="A302:B302"/>
    <mergeCell ref="C302:E302"/>
    <mergeCell ref="F302:G302"/>
    <mergeCell ref="H302:I302"/>
    <mergeCell ref="J302:K302"/>
    <mergeCell ref="L302:M302"/>
    <mergeCell ref="N308:O308"/>
    <mergeCell ref="A309:B309"/>
    <mergeCell ref="C309:E309"/>
    <mergeCell ref="F309:G309"/>
    <mergeCell ref="H309:I309"/>
    <mergeCell ref="J309:K309"/>
    <mergeCell ref="L309:M309"/>
    <mergeCell ref="N309:O309"/>
    <mergeCell ref="A308:B308"/>
    <mergeCell ref="C308:E308"/>
    <mergeCell ref="F308:G308"/>
    <mergeCell ref="H308:I308"/>
    <mergeCell ref="J308:K308"/>
    <mergeCell ref="L308:M308"/>
    <mergeCell ref="N306:O306"/>
    <mergeCell ref="A307:B307"/>
    <mergeCell ref="C307:E307"/>
    <mergeCell ref="F307:G307"/>
    <mergeCell ref="H307:I307"/>
    <mergeCell ref="J307:K307"/>
    <mergeCell ref="L307:M307"/>
    <mergeCell ref="N307:O307"/>
    <mergeCell ref="A306:B306"/>
    <mergeCell ref="C306:E306"/>
    <mergeCell ref="F306:G306"/>
    <mergeCell ref="H306:I306"/>
    <mergeCell ref="J306:K306"/>
    <mergeCell ref="L306:M306"/>
    <mergeCell ref="N312:O312"/>
    <mergeCell ref="A313:B313"/>
    <mergeCell ref="C313:E313"/>
    <mergeCell ref="F313:G313"/>
    <mergeCell ref="H313:I313"/>
    <mergeCell ref="J313:K313"/>
    <mergeCell ref="L313:M313"/>
    <mergeCell ref="N313:O313"/>
    <mergeCell ref="A312:B312"/>
    <mergeCell ref="C312:E312"/>
    <mergeCell ref="F312:G312"/>
    <mergeCell ref="H312:I312"/>
    <mergeCell ref="J312:K312"/>
    <mergeCell ref="L312:M312"/>
    <mergeCell ref="N310:O310"/>
    <mergeCell ref="A311:B311"/>
    <mergeCell ref="C311:E311"/>
    <mergeCell ref="F311:G311"/>
    <mergeCell ref="H311:I311"/>
    <mergeCell ref="J311:K311"/>
    <mergeCell ref="L311:M311"/>
    <mergeCell ref="N311:O311"/>
    <mergeCell ref="A310:B310"/>
    <mergeCell ref="C310:E310"/>
    <mergeCell ref="F310:G310"/>
    <mergeCell ref="H310:I310"/>
    <mergeCell ref="J310:K310"/>
    <mergeCell ref="L310:M310"/>
    <mergeCell ref="N316:O316"/>
    <mergeCell ref="A317:B317"/>
    <mergeCell ref="C317:E317"/>
    <mergeCell ref="F317:G317"/>
    <mergeCell ref="H317:I317"/>
    <mergeCell ref="J317:K317"/>
    <mergeCell ref="L317:M317"/>
    <mergeCell ref="N317:O317"/>
    <mergeCell ref="A316:B316"/>
    <mergeCell ref="C316:E316"/>
    <mergeCell ref="F316:G316"/>
    <mergeCell ref="H316:I316"/>
    <mergeCell ref="J316:K316"/>
    <mergeCell ref="L316:M316"/>
    <mergeCell ref="N314:O314"/>
    <mergeCell ref="A315:B315"/>
    <mergeCell ref="C315:E315"/>
    <mergeCell ref="F315:G315"/>
    <mergeCell ref="H315:I315"/>
    <mergeCell ref="J315:K315"/>
    <mergeCell ref="L315:M315"/>
    <mergeCell ref="N315:O315"/>
    <mergeCell ref="A314:B314"/>
    <mergeCell ref="C314:E314"/>
    <mergeCell ref="F314:G314"/>
    <mergeCell ref="H314:I314"/>
    <mergeCell ref="J314:K314"/>
    <mergeCell ref="L314:M314"/>
    <mergeCell ref="N320:O320"/>
    <mergeCell ref="A321:B321"/>
    <mergeCell ref="C321:E321"/>
    <mergeCell ref="F321:G321"/>
    <mergeCell ref="H321:I321"/>
    <mergeCell ref="J321:K321"/>
    <mergeCell ref="L321:M321"/>
    <mergeCell ref="N321:O321"/>
    <mergeCell ref="A320:B320"/>
    <mergeCell ref="C320:E320"/>
    <mergeCell ref="F320:G320"/>
    <mergeCell ref="H320:I320"/>
    <mergeCell ref="J320:K320"/>
    <mergeCell ref="L320:M320"/>
    <mergeCell ref="N318:O318"/>
    <mergeCell ref="A319:B319"/>
    <mergeCell ref="C319:E319"/>
    <mergeCell ref="F319:G319"/>
    <mergeCell ref="H319:I319"/>
    <mergeCell ref="J319:K319"/>
    <mergeCell ref="L319:M319"/>
    <mergeCell ref="N319:O319"/>
    <mergeCell ref="A318:B318"/>
    <mergeCell ref="C318:E318"/>
    <mergeCell ref="F318:G318"/>
    <mergeCell ref="H318:I318"/>
    <mergeCell ref="J318:K318"/>
    <mergeCell ref="L318:M318"/>
    <mergeCell ref="N324:O324"/>
    <mergeCell ref="A325:B325"/>
    <mergeCell ref="C325:E325"/>
    <mergeCell ref="F325:G325"/>
    <mergeCell ref="H325:I325"/>
    <mergeCell ref="J325:K325"/>
    <mergeCell ref="L325:M325"/>
    <mergeCell ref="N325:O325"/>
    <mergeCell ref="A324:B324"/>
    <mergeCell ref="C324:E324"/>
    <mergeCell ref="F324:G324"/>
    <mergeCell ref="H324:I324"/>
    <mergeCell ref="J324:K324"/>
    <mergeCell ref="L324:M324"/>
    <mergeCell ref="N322:O322"/>
    <mergeCell ref="A323:B323"/>
    <mergeCell ref="C323:E323"/>
    <mergeCell ref="F323:G323"/>
    <mergeCell ref="H323:I323"/>
    <mergeCell ref="J323:K323"/>
    <mergeCell ref="L323:M323"/>
    <mergeCell ref="N323:O323"/>
    <mergeCell ref="A322:B322"/>
    <mergeCell ref="C322:E322"/>
    <mergeCell ref="F322:G322"/>
    <mergeCell ref="H322:I322"/>
    <mergeCell ref="J322:K322"/>
    <mergeCell ref="L322:M322"/>
    <mergeCell ref="N328:O328"/>
    <mergeCell ref="A329:B329"/>
    <mergeCell ref="C329:E329"/>
    <mergeCell ref="F329:G329"/>
    <mergeCell ref="H329:I329"/>
    <mergeCell ref="J329:K329"/>
    <mergeCell ref="L329:M329"/>
    <mergeCell ref="N329:O329"/>
    <mergeCell ref="A328:B328"/>
    <mergeCell ref="C328:E328"/>
    <mergeCell ref="F328:G328"/>
    <mergeCell ref="H328:I328"/>
    <mergeCell ref="J328:K328"/>
    <mergeCell ref="L328:M328"/>
    <mergeCell ref="N326:O326"/>
    <mergeCell ref="A327:B327"/>
    <mergeCell ref="C327:E327"/>
    <mergeCell ref="F327:G327"/>
    <mergeCell ref="H327:I327"/>
    <mergeCell ref="J327:K327"/>
    <mergeCell ref="L327:M327"/>
    <mergeCell ref="N327:O327"/>
    <mergeCell ref="A326:B326"/>
    <mergeCell ref="C326:E326"/>
    <mergeCell ref="F326:G326"/>
    <mergeCell ref="H326:I326"/>
    <mergeCell ref="J326:K326"/>
    <mergeCell ref="L326:M326"/>
    <mergeCell ref="N332:O332"/>
    <mergeCell ref="A333:B333"/>
    <mergeCell ref="C333:E333"/>
    <mergeCell ref="F333:G333"/>
    <mergeCell ref="H333:I333"/>
    <mergeCell ref="J333:K333"/>
    <mergeCell ref="L333:M333"/>
    <mergeCell ref="N333:O333"/>
    <mergeCell ref="A332:B332"/>
    <mergeCell ref="C332:E332"/>
    <mergeCell ref="F332:G332"/>
    <mergeCell ref="H332:I332"/>
    <mergeCell ref="J332:K332"/>
    <mergeCell ref="L332:M332"/>
    <mergeCell ref="N330:O330"/>
    <mergeCell ref="A331:B331"/>
    <mergeCell ref="C331:E331"/>
    <mergeCell ref="F331:G331"/>
    <mergeCell ref="H331:I331"/>
    <mergeCell ref="J331:K331"/>
    <mergeCell ref="L331:M331"/>
    <mergeCell ref="N331:O331"/>
    <mergeCell ref="A330:B330"/>
    <mergeCell ref="C330:E330"/>
    <mergeCell ref="F330:G330"/>
    <mergeCell ref="H330:I330"/>
    <mergeCell ref="J330:K330"/>
    <mergeCell ref="L330:M330"/>
    <mergeCell ref="N336:O336"/>
    <mergeCell ref="A337:B337"/>
    <mergeCell ref="C337:E337"/>
    <mergeCell ref="F337:G337"/>
    <mergeCell ref="H337:I337"/>
    <mergeCell ref="J337:K337"/>
    <mergeCell ref="L337:M337"/>
    <mergeCell ref="N337:O337"/>
    <mergeCell ref="A336:B336"/>
    <mergeCell ref="C336:E336"/>
    <mergeCell ref="F336:G336"/>
    <mergeCell ref="H336:I336"/>
    <mergeCell ref="J336:K336"/>
    <mergeCell ref="L336:M336"/>
    <mergeCell ref="N334:O334"/>
    <mergeCell ref="A335:B335"/>
    <mergeCell ref="C335:E335"/>
    <mergeCell ref="F335:G335"/>
    <mergeCell ref="H335:I335"/>
    <mergeCell ref="J335:K335"/>
    <mergeCell ref="L335:M335"/>
    <mergeCell ref="N335:O335"/>
    <mergeCell ref="A334:B334"/>
    <mergeCell ref="C334:E334"/>
    <mergeCell ref="F334:G334"/>
    <mergeCell ref="H334:I334"/>
    <mergeCell ref="J334:K334"/>
    <mergeCell ref="L334:M334"/>
    <mergeCell ref="N340:O340"/>
    <mergeCell ref="A341:B341"/>
    <mergeCell ref="C341:E341"/>
    <mergeCell ref="F341:G341"/>
    <mergeCell ref="H341:I341"/>
    <mergeCell ref="J341:K341"/>
    <mergeCell ref="L341:M341"/>
    <mergeCell ref="N341:O341"/>
    <mergeCell ref="A340:B340"/>
    <mergeCell ref="C340:E340"/>
    <mergeCell ref="F340:G340"/>
    <mergeCell ref="H340:I340"/>
    <mergeCell ref="J340:K340"/>
    <mergeCell ref="L340:M340"/>
    <mergeCell ref="N338:O338"/>
    <mergeCell ref="A339:B339"/>
    <mergeCell ref="C339:E339"/>
    <mergeCell ref="F339:G339"/>
    <mergeCell ref="H339:I339"/>
    <mergeCell ref="J339:K339"/>
    <mergeCell ref="L339:M339"/>
    <mergeCell ref="N339:O339"/>
    <mergeCell ref="A338:B338"/>
    <mergeCell ref="C338:E338"/>
    <mergeCell ref="F338:G338"/>
    <mergeCell ref="H338:I338"/>
    <mergeCell ref="J338:K338"/>
    <mergeCell ref="L338:M338"/>
    <mergeCell ref="N344:O344"/>
    <mergeCell ref="A345:B345"/>
    <mergeCell ref="C345:E345"/>
    <mergeCell ref="F345:G345"/>
    <mergeCell ref="H345:I345"/>
    <mergeCell ref="J345:K345"/>
    <mergeCell ref="L345:M345"/>
    <mergeCell ref="N345:O345"/>
    <mergeCell ref="A344:B344"/>
    <mergeCell ref="C344:E344"/>
    <mergeCell ref="F344:G344"/>
    <mergeCell ref="H344:I344"/>
    <mergeCell ref="J344:K344"/>
    <mergeCell ref="L344:M344"/>
    <mergeCell ref="N342:O342"/>
    <mergeCell ref="A343:B343"/>
    <mergeCell ref="C343:E343"/>
    <mergeCell ref="F343:G343"/>
    <mergeCell ref="H343:I343"/>
    <mergeCell ref="J343:K343"/>
    <mergeCell ref="L343:M343"/>
    <mergeCell ref="N343:O343"/>
    <mergeCell ref="A342:B342"/>
    <mergeCell ref="C342:E342"/>
    <mergeCell ref="F342:G342"/>
    <mergeCell ref="H342:I342"/>
    <mergeCell ref="J342:K342"/>
    <mergeCell ref="L342:M342"/>
    <mergeCell ref="N348:O348"/>
    <mergeCell ref="A349:B349"/>
    <mergeCell ref="C349:E349"/>
    <mergeCell ref="F349:G349"/>
    <mergeCell ref="H349:I349"/>
    <mergeCell ref="J349:K349"/>
    <mergeCell ref="L349:M349"/>
    <mergeCell ref="N349:O349"/>
    <mergeCell ref="A348:B348"/>
    <mergeCell ref="C348:E348"/>
    <mergeCell ref="F348:G348"/>
    <mergeCell ref="H348:I348"/>
    <mergeCell ref="J348:K348"/>
    <mergeCell ref="L348:M348"/>
    <mergeCell ref="N346:O346"/>
    <mergeCell ref="A347:B347"/>
    <mergeCell ref="C347:E347"/>
    <mergeCell ref="F347:G347"/>
    <mergeCell ref="H347:I347"/>
    <mergeCell ref="J347:K347"/>
    <mergeCell ref="L347:M347"/>
    <mergeCell ref="N347:O347"/>
    <mergeCell ref="A346:B346"/>
    <mergeCell ref="C346:E346"/>
    <mergeCell ref="F346:G346"/>
    <mergeCell ref="H346:I346"/>
    <mergeCell ref="J346:K346"/>
    <mergeCell ref="L346:M346"/>
    <mergeCell ref="N352:O352"/>
    <mergeCell ref="A353:B353"/>
    <mergeCell ref="C353:E353"/>
    <mergeCell ref="F353:G353"/>
    <mergeCell ref="H353:I353"/>
    <mergeCell ref="J353:K353"/>
    <mergeCell ref="L353:M353"/>
    <mergeCell ref="N353:O353"/>
    <mergeCell ref="A352:B352"/>
    <mergeCell ref="C352:E352"/>
    <mergeCell ref="F352:G352"/>
    <mergeCell ref="H352:I352"/>
    <mergeCell ref="J352:K352"/>
    <mergeCell ref="L352:M352"/>
    <mergeCell ref="N350:O350"/>
    <mergeCell ref="A351:B351"/>
    <mergeCell ref="C351:E351"/>
    <mergeCell ref="F351:G351"/>
    <mergeCell ref="H351:I351"/>
    <mergeCell ref="J351:K351"/>
    <mergeCell ref="L351:M351"/>
    <mergeCell ref="N351:O351"/>
    <mergeCell ref="A350:B350"/>
    <mergeCell ref="C350:E350"/>
    <mergeCell ref="F350:G350"/>
    <mergeCell ref="H350:I350"/>
    <mergeCell ref="J350:K350"/>
    <mergeCell ref="L350:M350"/>
    <mergeCell ref="N356:O356"/>
    <mergeCell ref="A357:B357"/>
    <mergeCell ref="C357:E357"/>
    <mergeCell ref="F357:G357"/>
    <mergeCell ref="H357:I357"/>
    <mergeCell ref="J357:K357"/>
    <mergeCell ref="L357:M357"/>
    <mergeCell ref="N357:O357"/>
    <mergeCell ref="A356:B356"/>
    <mergeCell ref="C356:E356"/>
    <mergeCell ref="F356:G356"/>
    <mergeCell ref="H356:I356"/>
    <mergeCell ref="J356:K356"/>
    <mergeCell ref="L356:M356"/>
    <mergeCell ref="N354:O354"/>
    <mergeCell ref="A355:B355"/>
    <mergeCell ref="C355:E355"/>
    <mergeCell ref="F355:G355"/>
    <mergeCell ref="H355:I355"/>
    <mergeCell ref="J355:K355"/>
    <mergeCell ref="L355:M355"/>
    <mergeCell ref="N355:O355"/>
    <mergeCell ref="A354:B354"/>
    <mergeCell ref="C354:E354"/>
    <mergeCell ref="F354:G354"/>
    <mergeCell ref="H354:I354"/>
    <mergeCell ref="J354:K354"/>
    <mergeCell ref="L354:M354"/>
    <mergeCell ref="N362:O362"/>
    <mergeCell ref="A363:B363"/>
    <mergeCell ref="C363:E363"/>
    <mergeCell ref="F363:G363"/>
    <mergeCell ref="H363:I363"/>
    <mergeCell ref="J363:K363"/>
    <mergeCell ref="L363:M363"/>
    <mergeCell ref="N363:O363"/>
    <mergeCell ref="A362:B362"/>
    <mergeCell ref="C362:E362"/>
    <mergeCell ref="F362:G362"/>
    <mergeCell ref="H362:I362"/>
    <mergeCell ref="J362:K362"/>
    <mergeCell ref="L362:M362"/>
    <mergeCell ref="N358:O360"/>
    <mergeCell ref="C359:E359"/>
    <mergeCell ref="C360:E360"/>
    <mergeCell ref="A361:B361"/>
    <mergeCell ref="C361:E361"/>
    <mergeCell ref="F361:G361"/>
    <mergeCell ref="H361:I361"/>
    <mergeCell ref="J361:K361"/>
    <mergeCell ref="L361:M361"/>
    <mergeCell ref="N361:O361"/>
    <mergeCell ref="A358:B360"/>
    <mergeCell ref="C358:E358"/>
    <mergeCell ref="F358:G360"/>
    <mergeCell ref="H358:I360"/>
    <mergeCell ref="J358:K360"/>
    <mergeCell ref="L358:M360"/>
    <mergeCell ref="N366:O366"/>
    <mergeCell ref="A367:B367"/>
    <mergeCell ref="C367:E367"/>
    <mergeCell ref="F367:G367"/>
    <mergeCell ref="H367:I367"/>
    <mergeCell ref="J367:K367"/>
    <mergeCell ref="L367:M367"/>
    <mergeCell ref="N367:O367"/>
    <mergeCell ref="A366:B366"/>
    <mergeCell ref="C366:E366"/>
    <mergeCell ref="F366:G366"/>
    <mergeCell ref="H366:I366"/>
    <mergeCell ref="J366:K366"/>
    <mergeCell ref="L366:M366"/>
    <mergeCell ref="N364:O364"/>
    <mergeCell ref="A365:B365"/>
    <mergeCell ref="C365:E365"/>
    <mergeCell ref="F365:G365"/>
    <mergeCell ref="H365:I365"/>
    <mergeCell ref="J365:K365"/>
    <mergeCell ref="L365:M365"/>
    <mergeCell ref="N365:O365"/>
    <mergeCell ref="A364:B364"/>
    <mergeCell ref="C364:E364"/>
    <mergeCell ref="F364:G364"/>
    <mergeCell ref="H364:I364"/>
    <mergeCell ref="J364:K364"/>
    <mergeCell ref="L364:M364"/>
    <mergeCell ref="N370:O370"/>
    <mergeCell ref="A371:B371"/>
    <mergeCell ref="C371:E371"/>
    <mergeCell ref="F371:G371"/>
    <mergeCell ref="H371:I371"/>
    <mergeCell ref="J371:K371"/>
    <mergeCell ref="L371:M371"/>
    <mergeCell ref="N371:O371"/>
    <mergeCell ref="A370:B370"/>
    <mergeCell ref="C370:E370"/>
    <mergeCell ref="F370:G370"/>
    <mergeCell ref="H370:I370"/>
    <mergeCell ref="J370:K370"/>
    <mergeCell ref="L370:M370"/>
    <mergeCell ref="N368:O368"/>
    <mergeCell ref="A369:B369"/>
    <mergeCell ref="C369:E369"/>
    <mergeCell ref="F369:G369"/>
    <mergeCell ref="H369:I369"/>
    <mergeCell ref="J369:K369"/>
    <mergeCell ref="L369:M369"/>
    <mergeCell ref="N369:O369"/>
    <mergeCell ref="A368:B368"/>
    <mergeCell ref="C368:E368"/>
    <mergeCell ref="F368:G368"/>
    <mergeCell ref="H368:I368"/>
    <mergeCell ref="J368:K368"/>
    <mergeCell ref="L368:M368"/>
    <mergeCell ref="N374:O374"/>
    <mergeCell ref="A375:B375"/>
    <mergeCell ref="C375:E375"/>
    <mergeCell ref="F375:G375"/>
    <mergeCell ref="H375:I375"/>
    <mergeCell ref="J375:K375"/>
    <mergeCell ref="L375:M375"/>
    <mergeCell ref="N375:O375"/>
    <mergeCell ref="A374:B374"/>
    <mergeCell ref="C374:E374"/>
    <mergeCell ref="F374:G374"/>
    <mergeCell ref="H374:I374"/>
    <mergeCell ref="J374:K374"/>
    <mergeCell ref="L374:M374"/>
    <mergeCell ref="N372:O372"/>
    <mergeCell ref="A373:B373"/>
    <mergeCell ref="C373:E373"/>
    <mergeCell ref="F373:G373"/>
    <mergeCell ref="H373:I373"/>
    <mergeCell ref="J373:K373"/>
    <mergeCell ref="L373:M373"/>
    <mergeCell ref="N373:O373"/>
    <mergeCell ref="A372:B372"/>
    <mergeCell ref="C372:E372"/>
    <mergeCell ref="F372:G372"/>
    <mergeCell ref="H372:I372"/>
    <mergeCell ref="J372:K372"/>
    <mergeCell ref="L372:M372"/>
    <mergeCell ref="N378:O378"/>
    <mergeCell ref="A379:B379"/>
    <mergeCell ref="C379:E379"/>
    <mergeCell ref="F379:G379"/>
    <mergeCell ref="H379:I379"/>
    <mergeCell ref="J379:K379"/>
    <mergeCell ref="L379:M379"/>
    <mergeCell ref="N379:O379"/>
    <mergeCell ref="A378:B378"/>
    <mergeCell ref="C378:E378"/>
    <mergeCell ref="F378:G378"/>
    <mergeCell ref="H378:I378"/>
    <mergeCell ref="J378:K378"/>
    <mergeCell ref="L378:M378"/>
    <mergeCell ref="N376:O376"/>
    <mergeCell ref="A377:B377"/>
    <mergeCell ref="C377:E377"/>
    <mergeCell ref="F377:G377"/>
    <mergeCell ref="H377:I377"/>
    <mergeCell ref="J377:K377"/>
    <mergeCell ref="L377:M377"/>
    <mergeCell ref="N377:O377"/>
    <mergeCell ref="A376:B376"/>
    <mergeCell ref="C376:E376"/>
    <mergeCell ref="F376:G376"/>
    <mergeCell ref="H376:I376"/>
    <mergeCell ref="J376:K376"/>
    <mergeCell ref="L376:M376"/>
    <mergeCell ref="N382:O382"/>
    <mergeCell ref="A383:B383"/>
    <mergeCell ref="C383:E383"/>
    <mergeCell ref="F383:G383"/>
    <mergeCell ref="H383:I383"/>
    <mergeCell ref="J383:K383"/>
    <mergeCell ref="L383:M383"/>
    <mergeCell ref="N383:O383"/>
    <mergeCell ref="A382:B382"/>
    <mergeCell ref="C382:E382"/>
    <mergeCell ref="F382:G382"/>
    <mergeCell ref="H382:I382"/>
    <mergeCell ref="J382:K382"/>
    <mergeCell ref="L382:M382"/>
    <mergeCell ref="N380:O380"/>
    <mergeCell ref="A381:B381"/>
    <mergeCell ref="C381:E381"/>
    <mergeCell ref="F381:G381"/>
    <mergeCell ref="H381:I381"/>
    <mergeCell ref="J381:K381"/>
    <mergeCell ref="L381:M381"/>
    <mergeCell ref="N381:O381"/>
    <mergeCell ref="A380:B380"/>
    <mergeCell ref="C380:E380"/>
    <mergeCell ref="F380:G380"/>
    <mergeCell ref="H380:I380"/>
    <mergeCell ref="J380:K380"/>
    <mergeCell ref="L380:M380"/>
    <mergeCell ref="N386:O386"/>
    <mergeCell ref="A387:B387"/>
    <mergeCell ref="C387:E387"/>
    <mergeCell ref="F387:G387"/>
    <mergeCell ref="H387:I387"/>
    <mergeCell ref="J387:K387"/>
    <mergeCell ref="L387:M387"/>
    <mergeCell ref="N387:O387"/>
    <mergeCell ref="A386:B386"/>
    <mergeCell ref="C386:E386"/>
    <mergeCell ref="F386:G386"/>
    <mergeCell ref="H386:I386"/>
    <mergeCell ref="J386:K386"/>
    <mergeCell ref="L386:M386"/>
    <mergeCell ref="N384:O384"/>
    <mergeCell ref="A385:B385"/>
    <mergeCell ref="C385:E385"/>
    <mergeCell ref="F385:G385"/>
    <mergeCell ref="H385:I385"/>
    <mergeCell ref="J385:K385"/>
    <mergeCell ref="L385:M385"/>
    <mergeCell ref="N385:O385"/>
    <mergeCell ref="A384:B384"/>
    <mergeCell ref="C384:E384"/>
    <mergeCell ref="F384:G384"/>
    <mergeCell ref="H384:I384"/>
    <mergeCell ref="J384:K384"/>
    <mergeCell ref="L384:M384"/>
    <mergeCell ref="N390:O390"/>
    <mergeCell ref="A391:B391"/>
    <mergeCell ref="C391:E391"/>
    <mergeCell ref="F391:G391"/>
    <mergeCell ref="H391:I391"/>
    <mergeCell ref="J391:K391"/>
    <mergeCell ref="L391:M391"/>
    <mergeCell ref="N391:O391"/>
    <mergeCell ref="A390:B390"/>
    <mergeCell ref="C390:E390"/>
    <mergeCell ref="F390:G390"/>
    <mergeCell ref="H390:I390"/>
    <mergeCell ref="J390:K390"/>
    <mergeCell ref="L390:M390"/>
    <mergeCell ref="N388:O388"/>
    <mergeCell ref="A389:B389"/>
    <mergeCell ref="C389:E389"/>
    <mergeCell ref="F389:G389"/>
    <mergeCell ref="H389:I389"/>
    <mergeCell ref="J389:K389"/>
    <mergeCell ref="L389:M389"/>
    <mergeCell ref="N389:O389"/>
    <mergeCell ref="A388:B388"/>
    <mergeCell ref="C388:E388"/>
    <mergeCell ref="F388:G388"/>
    <mergeCell ref="H388:I388"/>
    <mergeCell ref="J388:K388"/>
    <mergeCell ref="L388:M388"/>
    <mergeCell ref="N394:O394"/>
    <mergeCell ref="A395:B395"/>
    <mergeCell ref="C395:E395"/>
    <mergeCell ref="F395:G395"/>
    <mergeCell ref="H395:I395"/>
    <mergeCell ref="J395:K395"/>
    <mergeCell ref="L395:M395"/>
    <mergeCell ref="N395:O395"/>
    <mergeCell ref="A394:B394"/>
    <mergeCell ref="C394:E394"/>
    <mergeCell ref="F394:G394"/>
    <mergeCell ref="H394:I394"/>
    <mergeCell ref="J394:K394"/>
    <mergeCell ref="L394:M394"/>
    <mergeCell ref="N392:O392"/>
    <mergeCell ref="A393:B393"/>
    <mergeCell ref="C393:E393"/>
    <mergeCell ref="F393:G393"/>
    <mergeCell ref="H393:I393"/>
    <mergeCell ref="J393:K393"/>
    <mergeCell ref="L393:M393"/>
    <mergeCell ref="N393:O393"/>
    <mergeCell ref="A392:B392"/>
    <mergeCell ref="C392:E392"/>
    <mergeCell ref="F392:G392"/>
    <mergeCell ref="H392:I392"/>
    <mergeCell ref="J392:K392"/>
    <mergeCell ref="L392:M392"/>
    <mergeCell ref="N398:O398"/>
    <mergeCell ref="A399:B399"/>
    <mergeCell ref="C399:E399"/>
    <mergeCell ref="F399:G399"/>
    <mergeCell ref="H399:I399"/>
    <mergeCell ref="J399:K399"/>
    <mergeCell ref="L399:M399"/>
    <mergeCell ref="N399:O399"/>
    <mergeCell ref="A398:B398"/>
    <mergeCell ref="C398:E398"/>
    <mergeCell ref="F398:G398"/>
    <mergeCell ref="H398:I398"/>
    <mergeCell ref="J398:K398"/>
    <mergeCell ref="L398:M398"/>
    <mergeCell ref="N396:O396"/>
    <mergeCell ref="A397:B397"/>
    <mergeCell ref="C397:E397"/>
    <mergeCell ref="F397:G397"/>
    <mergeCell ref="H397:I397"/>
    <mergeCell ref="J397:K397"/>
    <mergeCell ref="L397:M397"/>
    <mergeCell ref="N397:O397"/>
    <mergeCell ref="A396:B396"/>
    <mergeCell ref="C396:E396"/>
    <mergeCell ref="F396:G396"/>
    <mergeCell ref="H396:I396"/>
    <mergeCell ref="J396:K396"/>
    <mergeCell ref="L396:M396"/>
    <mergeCell ref="N402:O402"/>
    <mergeCell ref="A403:B403"/>
    <mergeCell ref="C403:E403"/>
    <mergeCell ref="F403:G403"/>
    <mergeCell ref="H403:I403"/>
    <mergeCell ref="J403:K403"/>
    <mergeCell ref="L403:M403"/>
    <mergeCell ref="N403:O403"/>
    <mergeCell ref="A402:B402"/>
    <mergeCell ref="C402:E402"/>
    <mergeCell ref="F402:G402"/>
    <mergeCell ref="H402:I402"/>
    <mergeCell ref="J402:K402"/>
    <mergeCell ref="L402:M402"/>
    <mergeCell ref="N400:O400"/>
    <mergeCell ref="A401:B401"/>
    <mergeCell ref="C401:E401"/>
    <mergeCell ref="F401:G401"/>
    <mergeCell ref="H401:I401"/>
    <mergeCell ref="J401:K401"/>
    <mergeCell ref="L401:M401"/>
    <mergeCell ref="N401:O401"/>
    <mergeCell ref="A400:B400"/>
    <mergeCell ref="C400:E400"/>
    <mergeCell ref="F400:G400"/>
    <mergeCell ref="H400:I400"/>
    <mergeCell ref="J400:K400"/>
    <mergeCell ref="L400:M400"/>
    <mergeCell ref="N406:O406"/>
    <mergeCell ref="A407:B407"/>
    <mergeCell ref="C407:E407"/>
    <mergeCell ref="F407:G407"/>
    <mergeCell ref="H407:I407"/>
    <mergeCell ref="J407:K407"/>
    <mergeCell ref="L407:M407"/>
    <mergeCell ref="N407:O407"/>
    <mergeCell ref="A406:B406"/>
    <mergeCell ref="C406:E406"/>
    <mergeCell ref="F406:G406"/>
    <mergeCell ref="H406:I406"/>
    <mergeCell ref="J406:K406"/>
    <mergeCell ref="L406:M406"/>
    <mergeCell ref="N404:O404"/>
    <mergeCell ref="A405:B405"/>
    <mergeCell ref="C405:E405"/>
    <mergeCell ref="F405:G405"/>
    <mergeCell ref="H405:I405"/>
    <mergeCell ref="J405:K405"/>
    <mergeCell ref="L405:M405"/>
    <mergeCell ref="N405:O405"/>
    <mergeCell ref="A404:B404"/>
    <mergeCell ref="C404:E404"/>
    <mergeCell ref="F404:G404"/>
    <mergeCell ref="H404:I404"/>
    <mergeCell ref="J404:K404"/>
    <mergeCell ref="L404:M404"/>
    <mergeCell ref="N410:O410"/>
    <mergeCell ref="A411:B411"/>
    <mergeCell ref="C411:E411"/>
    <mergeCell ref="F411:G411"/>
    <mergeCell ref="H411:I411"/>
    <mergeCell ref="J411:K411"/>
    <mergeCell ref="L411:M411"/>
    <mergeCell ref="N411:O411"/>
    <mergeCell ref="A410:B410"/>
    <mergeCell ref="C410:E410"/>
    <mergeCell ref="F410:G410"/>
    <mergeCell ref="H410:I410"/>
    <mergeCell ref="J410:K410"/>
    <mergeCell ref="L410:M410"/>
    <mergeCell ref="N408:O408"/>
    <mergeCell ref="A409:B409"/>
    <mergeCell ref="C409:E409"/>
    <mergeCell ref="F409:G409"/>
    <mergeCell ref="H409:I409"/>
    <mergeCell ref="J409:K409"/>
    <mergeCell ref="L409:M409"/>
    <mergeCell ref="N409:O409"/>
    <mergeCell ref="A408:B408"/>
    <mergeCell ref="C408:E408"/>
    <mergeCell ref="F408:G408"/>
    <mergeCell ref="H408:I408"/>
    <mergeCell ref="J408:K408"/>
    <mergeCell ref="L408:M408"/>
    <mergeCell ref="N414:O414"/>
    <mergeCell ref="A415:B415"/>
    <mergeCell ref="C415:E415"/>
    <mergeCell ref="F415:G415"/>
    <mergeCell ref="H415:I415"/>
    <mergeCell ref="J415:K415"/>
    <mergeCell ref="L415:M415"/>
    <mergeCell ref="N415:O415"/>
    <mergeCell ref="A414:B414"/>
    <mergeCell ref="C414:E414"/>
    <mergeCell ref="F414:G414"/>
    <mergeCell ref="H414:I414"/>
    <mergeCell ref="J414:K414"/>
    <mergeCell ref="L414:M414"/>
    <mergeCell ref="N412:O412"/>
    <mergeCell ref="A413:B413"/>
    <mergeCell ref="C413:E413"/>
    <mergeCell ref="F413:G413"/>
    <mergeCell ref="H413:I413"/>
    <mergeCell ref="J413:K413"/>
    <mergeCell ref="L413:M413"/>
    <mergeCell ref="N413:O413"/>
    <mergeCell ref="A412:B412"/>
    <mergeCell ref="C412:E412"/>
    <mergeCell ref="F412:G412"/>
    <mergeCell ref="H412:I412"/>
    <mergeCell ref="J412:K412"/>
    <mergeCell ref="L412:M412"/>
    <mergeCell ref="N418:O418"/>
    <mergeCell ref="A419:B419"/>
    <mergeCell ref="C419:E419"/>
    <mergeCell ref="F419:G419"/>
    <mergeCell ref="H419:I419"/>
    <mergeCell ref="J419:K419"/>
    <mergeCell ref="L419:M419"/>
    <mergeCell ref="N419:O419"/>
    <mergeCell ref="A418:B418"/>
    <mergeCell ref="C418:E418"/>
    <mergeCell ref="F418:G418"/>
    <mergeCell ref="H418:I418"/>
    <mergeCell ref="J418:K418"/>
    <mergeCell ref="L418:M418"/>
    <mergeCell ref="N416:O416"/>
    <mergeCell ref="A417:B417"/>
    <mergeCell ref="C417:E417"/>
    <mergeCell ref="F417:G417"/>
    <mergeCell ref="H417:I417"/>
    <mergeCell ref="J417:K417"/>
    <mergeCell ref="L417:M417"/>
    <mergeCell ref="N417:O417"/>
    <mergeCell ref="A416:B416"/>
    <mergeCell ref="C416:E416"/>
    <mergeCell ref="F416:G416"/>
    <mergeCell ref="H416:I416"/>
    <mergeCell ref="J416:K416"/>
    <mergeCell ref="L416:M416"/>
    <mergeCell ref="N424:O424"/>
    <mergeCell ref="A425:B425"/>
    <mergeCell ref="C425:E425"/>
    <mergeCell ref="F425:G425"/>
    <mergeCell ref="H425:I425"/>
    <mergeCell ref="J425:K425"/>
    <mergeCell ref="L425:M425"/>
    <mergeCell ref="N425:O425"/>
    <mergeCell ref="A424:B424"/>
    <mergeCell ref="C424:E424"/>
    <mergeCell ref="F424:G424"/>
    <mergeCell ref="H424:I424"/>
    <mergeCell ref="J424:K424"/>
    <mergeCell ref="L424:M424"/>
    <mergeCell ref="N420:O420"/>
    <mergeCell ref="A421:B423"/>
    <mergeCell ref="C421:E421"/>
    <mergeCell ref="F421:G423"/>
    <mergeCell ref="H421:I423"/>
    <mergeCell ref="J421:K423"/>
    <mergeCell ref="L421:M423"/>
    <mergeCell ref="N421:O423"/>
    <mergeCell ref="C422:E422"/>
    <mergeCell ref="C423:E423"/>
    <mergeCell ref="A420:B420"/>
    <mergeCell ref="C420:E420"/>
    <mergeCell ref="F420:G420"/>
    <mergeCell ref="H420:I420"/>
    <mergeCell ref="J420:K420"/>
    <mergeCell ref="L420:M420"/>
    <mergeCell ref="N428:O428"/>
    <mergeCell ref="A429:B429"/>
    <mergeCell ref="C429:E429"/>
    <mergeCell ref="F429:G429"/>
    <mergeCell ref="H429:I429"/>
    <mergeCell ref="J429:K429"/>
    <mergeCell ref="L429:M429"/>
    <mergeCell ref="N429:O429"/>
    <mergeCell ref="A428:B428"/>
    <mergeCell ref="C428:E428"/>
    <mergeCell ref="F428:G428"/>
    <mergeCell ref="H428:I428"/>
    <mergeCell ref="J428:K428"/>
    <mergeCell ref="L428:M428"/>
    <mergeCell ref="N426:O426"/>
    <mergeCell ref="A427:B427"/>
    <mergeCell ref="C427:E427"/>
    <mergeCell ref="F427:G427"/>
    <mergeCell ref="H427:I427"/>
    <mergeCell ref="J427:K427"/>
    <mergeCell ref="L427:M427"/>
    <mergeCell ref="N427:O427"/>
    <mergeCell ref="A426:B426"/>
    <mergeCell ref="C426:E426"/>
    <mergeCell ref="F426:G426"/>
    <mergeCell ref="H426:I426"/>
    <mergeCell ref="J426:K426"/>
    <mergeCell ref="L426:M426"/>
    <mergeCell ref="N432:O432"/>
    <mergeCell ref="A433:B433"/>
    <mergeCell ref="C433:E433"/>
    <mergeCell ref="F433:G433"/>
    <mergeCell ref="H433:I433"/>
    <mergeCell ref="J433:K433"/>
    <mergeCell ref="L433:M433"/>
    <mergeCell ref="N433:O433"/>
    <mergeCell ref="A432:B432"/>
    <mergeCell ref="C432:E432"/>
    <mergeCell ref="F432:G432"/>
    <mergeCell ref="H432:I432"/>
    <mergeCell ref="J432:K432"/>
    <mergeCell ref="L432:M432"/>
    <mergeCell ref="N430:O430"/>
    <mergeCell ref="A431:B431"/>
    <mergeCell ref="C431:E431"/>
    <mergeCell ref="F431:G431"/>
    <mergeCell ref="H431:I431"/>
    <mergeCell ref="J431:K431"/>
    <mergeCell ref="L431:M431"/>
    <mergeCell ref="N431:O431"/>
    <mergeCell ref="A430:B430"/>
    <mergeCell ref="C430:E430"/>
    <mergeCell ref="F430:G430"/>
    <mergeCell ref="H430:I430"/>
    <mergeCell ref="J430:K430"/>
    <mergeCell ref="L430:M430"/>
    <mergeCell ref="N436:O436"/>
    <mergeCell ref="A437:B437"/>
    <mergeCell ref="C437:E437"/>
    <mergeCell ref="F437:G437"/>
    <mergeCell ref="H437:I437"/>
    <mergeCell ref="J437:K437"/>
    <mergeCell ref="L437:M437"/>
    <mergeCell ref="N437:O437"/>
    <mergeCell ref="A436:B436"/>
    <mergeCell ref="C436:E436"/>
    <mergeCell ref="F436:G436"/>
    <mergeCell ref="H436:I436"/>
    <mergeCell ref="J436:K436"/>
    <mergeCell ref="L436:M436"/>
    <mergeCell ref="N434:O434"/>
    <mergeCell ref="A435:B435"/>
    <mergeCell ref="C435:E435"/>
    <mergeCell ref="F435:G435"/>
    <mergeCell ref="H435:I435"/>
    <mergeCell ref="J435:K435"/>
    <mergeCell ref="L435:M435"/>
    <mergeCell ref="N435:O435"/>
    <mergeCell ref="A434:B434"/>
    <mergeCell ref="C434:E434"/>
    <mergeCell ref="F434:G434"/>
    <mergeCell ref="H434:I434"/>
    <mergeCell ref="J434:K434"/>
    <mergeCell ref="L434:M434"/>
    <mergeCell ref="N440:O440"/>
    <mergeCell ref="A441:B441"/>
    <mergeCell ref="C441:E441"/>
    <mergeCell ref="F441:G441"/>
    <mergeCell ref="H441:I441"/>
    <mergeCell ref="J441:K441"/>
    <mergeCell ref="L441:M441"/>
    <mergeCell ref="N441:O441"/>
    <mergeCell ref="A440:B440"/>
    <mergeCell ref="C440:E440"/>
    <mergeCell ref="F440:G440"/>
    <mergeCell ref="H440:I440"/>
    <mergeCell ref="J440:K440"/>
    <mergeCell ref="L440:M440"/>
    <mergeCell ref="N438:O438"/>
    <mergeCell ref="A439:B439"/>
    <mergeCell ref="C439:E439"/>
    <mergeCell ref="F439:G439"/>
    <mergeCell ref="H439:I439"/>
    <mergeCell ref="J439:K439"/>
    <mergeCell ref="L439:M439"/>
    <mergeCell ref="N439:O439"/>
    <mergeCell ref="A438:B438"/>
    <mergeCell ref="C438:E438"/>
    <mergeCell ref="F438:G438"/>
    <mergeCell ref="H438:I438"/>
    <mergeCell ref="J438:K438"/>
    <mergeCell ref="L438:M438"/>
    <mergeCell ref="N444:O444"/>
    <mergeCell ref="A445:B445"/>
    <mergeCell ref="C445:E445"/>
    <mergeCell ref="F445:G445"/>
    <mergeCell ref="H445:I445"/>
    <mergeCell ref="J445:K445"/>
    <mergeCell ref="L445:M445"/>
    <mergeCell ref="N445:O445"/>
    <mergeCell ref="A444:B444"/>
    <mergeCell ref="C444:E444"/>
    <mergeCell ref="F444:G444"/>
    <mergeCell ref="H444:I444"/>
    <mergeCell ref="J444:K444"/>
    <mergeCell ref="L444:M444"/>
    <mergeCell ref="N442:O442"/>
    <mergeCell ref="A443:B443"/>
    <mergeCell ref="C443:E443"/>
    <mergeCell ref="F443:G443"/>
    <mergeCell ref="H443:I443"/>
    <mergeCell ref="J443:K443"/>
    <mergeCell ref="L443:M443"/>
    <mergeCell ref="N443:O443"/>
    <mergeCell ref="A442:B442"/>
    <mergeCell ref="C442:E442"/>
    <mergeCell ref="F442:G442"/>
    <mergeCell ref="H442:I442"/>
    <mergeCell ref="J442:K442"/>
    <mergeCell ref="L442:M442"/>
    <mergeCell ref="N448:O448"/>
    <mergeCell ref="A449:B449"/>
    <mergeCell ref="C449:E449"/>
    <mergeCell ref="F449:G449"/>
    <mergeCell ref="H449:I449"/>
    <mergeCell ref="J449:K449"/>
    <mergeCell ref="L449:M449"/>
    <mergeCell ref="N449:O449"/>
    <mergeCell ref="A448:B448"/>
    <mergeCell ref="C448:E448"/>
    <mergeCell ref="F448:G448"/>
    <mergeCell ref="H448:I448"/>
    <mergeCell ref="J448:K448"/>
    <mergeCell ref="L448:M448"/>
    <mergeCell ref="N446:O446"/>
    <mergeCell ref="A447:B447"/>
    <mergeCell ref="C447:E447"/>
    <mergeCell ref="F447:G447"/>
    <mergeCell ref="H447:I447"/>
    <mergeCell ref="J447:K447"/>
    <mergeCell ref="L447:M447"/>
    <mergeCell ref="N447:O447"/>
    <mergeCell ref="A446:B446"/>
    <mergeCell ref="C446:E446"/>
    <mergeCell ref="F446:G446"/>
    <mergeCell ref="H446:I446"/>
    <mergeCell ref="J446:K446"/>
    <mergeCell ref="L446:M446"/>
    <mergeCell ref="N452:O452"/>
    <mergeCell ref="A453:B453"/>
    <mergeCell ref="C453:E453"/>
    <mergeCell ref="F453:G453"/>
    <mergeCell ref="H453:I453"/>
    <mergeCell ref="J453:K453"/>
    <mergeCell ref="L453:M453"/>
    <mergeCell ref="N453:O453"/>
    <mergeCell ref="A452:B452"/>
    <mergeCell ref="C452:E452"/>
    <mergeCell ref="F452:G452"/>
    <mergeCell ref="H452:I452"/>
    <mergeCell ref="J452:K452"/>
    <mergeCell ref="L452:M452"/>
    <mergeCell ref="N450:O450"/>
    <mergeCell ref="A451:B451"/>
    <mergeCell ref="C451:E451"/>
    <mergeCell ref="F451:G451"/>
    <mergeCell ref="H451:I451"/>
    <mergeCell ref="J451:K451"/>
    <mergeCell ref="L451:M451"/>
    <mergeCell ref="N451:O451"/>
    <mergeCell ref="A450:B450"/>
    <mergeCell ref="C450:E450"/>
    <mergeCell ref="F450:G450"/>
    <mergeCell ref="H450:I450"/>
    <mergeCell ref="J450:K450"/>
    <mergeCell ref="L450:M450"/>
    <mergeCell ref="N456:O456"/>
    <mergeCell ref="A457:B457"/>
    <mergeCell ref="C457:E457"/>
    <mergeCell ref="F457:G457"/>
    <mergeCell ref="H457:I457"/>
    <mergeCell ref="J457:K457"/>
    <mergeCell ref="L457:M457"/>
    <mergeCell ref="N457:O457"/>
    <mergeCell ref="A456:B456"/>
    <mergeCell ref="C456:E456"/>
    <mergeCell ref="F456:G456"/>
    <mergeCell ref="H456:I456"/>
    <mergeCell ref="J456:K456"/>
    <mergeCell ref="L456:M456"/>
    <mergeCell ref="N454:O454"/>
    <mergeCell ref="A455:B455"/>
    <mergeCell ref="C455:E455"/>
    <mergeCell ref="F455:G455"/>
    <mergeCell ref="H455:I455"/>
    <mergeCell ref="J455:K455"/>
    <mergeCell ref="L455:M455"/>
    <mergeCell ref="N455:O455"/>
    <mergeCell ref="A454:B454"/>
    <mergeCell ref="C454:E454"/>
    <mergeCell ref="F454:G454"/>
    <mergeCell ref="H454:I454"/>
    <mergeCell ref="J454:K454"/>
    <mergeCell ref="L454:M454"/>
    <mergeCell ref="N460:O460"/>
    <mergeCell ref="A461:B461"/>
    <mergeCell ref="C461:E461"/>
    <mergeCell ref="F461:G461"/>
    <mergeCell ref="H461:I461"/>
    <mergeCell ref="J461:K461"/>
    <mergeCell ref="L461:M461"/>
    <mergeCell ref="N461:O461"/>
    <mergeCell ref="A460:B460"/>
    <mergeCell ref="C460:E460"/>
    <mergeCell ref="F460:G460"/>
    <mergeCell ref="H460:I460"/>
    <mergeCell ref="J460:K460"/>
    <mergeCell ref="L460:M460"/>
    <mergeCell ref="N458:O458"/>
    <mergeCell ref="A459:B459"/>
    <mergeCell ref="C459:E459"/>
    <mergeCell ref="F459:G459"/>
    <mergeCell ref="H459:I459"/>
    <mergeCell ref="J459:K459"/>
    <mergeCell ref="L459:M459"/>
    <mergeCell ref="N459:O459"/>
    <mergeCell ref="A458:B458"/>
    <mergeCell ref="C458:E458"/>
    <mergeCell ref="F458:G458"/>
    <mergeCell ref="H458:I458"/>
    <mergeCell ref="J458:K458"/>
    <mergeCell ref="L458:M458"/>
    <mergeCell ref="N464:O464"/>
    <mergeCell ref="A465:B465"/>
    <mergeCell ref="C465:E465"/>
    <mergeCell ref="F465:G465"/>
    <mergeCell ref="H465:I465"/>
    <mergeCell ref="J465:K465"/>
    <mergeCell ref="L465:M465"/>
    <mergeCell ref="N465:O465"/>
    <mergeCell ref="A464:B464"/>
    <mergeCell ref="C464:E464"/>
    <mergeCell ref="F464:G464"/>
    <mergeCell ref="H464:I464"/>
    <mergeCell ref="J464:K464"/>
    <mergeCell ref="L464:M464"/>
    <mergeCell ref="N462:O462"/>
    <mergeCell ref="A463:B463"/>
    <mergeCell ref="C463:E463"/>
    <mergeCell ref="F463:G463"/>
    <mergeCell ref="H463:I463"/>
    <mergeCell ref="J463:K463"/>
    <mergeCell ref="L463:M463"/>
    <mergeCell ref="N463:O463"/>
    <mergeCell ref="A462:B462"/>
    <mergeCell ref="C462:E462"/>
    <mergeCell ref="F462:G462"/>
    <mergeCell ref="H462:I462"/>
    <mergeCell ref="J462:K462"/>
    <mergeCell ref="L462:M462"/>
    <mergeCell ref="N468:O468"/>
    <mergeCell ref="A469:B469"/>
    <mergeCell ref="C469:E469"/>
    <mergeCell ref="F469:G469"/>
    <mergeCell ref="H469:I469"/>
    <mergeCell ref="J469:K469"/>
    <mergeCell ref="L469:M469"/>
    <mergeCell ref="N469:O469"/>
    <mergeCell ref="A468:B468"/>
    <mergeCell ref="C468:E468"/>
    <mergeCell ref="F468:G468"/>
    <mergeCell ref="H468:I468"/>
    <mergeCell ref="J468:K468"/>
    <mergeCell ref="L468:M468"/>
    <mergeCell ref="N466:O466"/>
    <mergeCell ref="A467:B467"/>
    <mergeCell ref="C467:E467"/>
    <mergeCell ref="F467:G467"/>
    <mergeCell ref="H467:I467"/>
    <mergeCell ref="J467:K467"/>
    <mergeCell ref="L467:M467"/>
    <mergeCell ref="N467:O467"/>
    <mergeCell ref="A466:B466"/>
    <mergeCell ref="C466:E466"/>
    <mergeCell ref="F466:G466"/>
    <mergeCell ref="H466:I466"/>
    <mergeCell ref="J466:K466"/>
    <mergeCell ref="L466:M466"/>
    <mergeCell ref="N472:O472"/>
    <mergeCell ref="A473:B473"/>
    <mergeCell ref="C473:E473"/>
    <mergeCell ref="F473:G473"/>
    <mergeCell ref="H473:I473"/>
    <mergeCell ref="J473:K473"/>
    <mergeCell ref="L473:M473"/>
    <mergeCell ref="N473:O473"/>
    <mergeCell ref="A472:B472"/>
    <mergeCell ref="C472:E472"/>
    <mergeCell ref="F472:G472"/>
    <mergeCell ref="H472:I472"/>
    <mergeCell ref="J472:K472"/>
    <mergeCell ref="L472:M472"/>
    <mergeCell ref="N470:O470"/>
    <mergeCell ref="A471:B471"/>
    <mergeCell ref="C471:E471"/>
    <mergeCell ref="F471:G471"/>
    <mergeCell ref="H471:I471"/>
    <mergeCell ref="J471:K471"/>
    <mergeCell ref="L471:M471"/>
    <mergeCell ref="N471:O471"/>
    <mergeCell ref="A470:B470"/>
    <mergeCell ref="C470:E470"/>
    <mergeCell ref="F470:G470"/>
    <mergeCell ref="H470:I470"/>
    <mergeCell ref="J470:K470"/>
    <mergeCell ref="L470:M470"/>
    <mergeCell ref="N476:O476"/>
    <mergeCell ref="A477:B477"/>
    <mergeCell ref="C477:E477"/>
    <mergeCell ref="F477:G477"/>
    <mergeCell ref="H477:I477"/>
    <mergeCell ref="J477:K477"/>
    <mergeCell ref="L477:M477"/>
    <mergeCell ref="N477:O477"/>
    <mergeCell ref="A476:B476"/>
    <mergeCell ref="C476:E476"/>
    <mergeCell ref="F476:G476"/>
    <mergeCell ref="H476:I476"/>
    <mergeCell ref="J476:K476"/>
    <mergeCell ref="L476:M476"/>
    <mergeCell ref="N474:O474"/>
    <mergeCell ref="A475:B475"/>
    <mergeCell ref="C475:E475"/>
    <mergeCell ref="F475:G475"/>
    <mergeCell ref="H475:I475"/>
    <mergeCell ref="J475:K475"/>
    <mergeCell ref="L475:M475"/>
    <mergeCell ref="N475:O475"/>
    <mergeCell ref="A474:B474"/>
    <mergeCell ref="C474:E474"/>
    <mergeCell ref="F474:G474"/>
    <mergeCell ref="H474:I474"/>
    <mergeCell ref="J474:K474"/>
    <mergeCell ref="L474:M474"/>
    <mergeCell ref="N480:O480"/>
    <mergeCell ref="A481:B481"/>
    <mergeCell ref="C481:E481"/>
    <mergeCell ref="F481:G481"/>
    <mergeCell ref="H481:I481"/>
    <mergeCell ref="J481:K481"/>
    <mergeCell ref="L481:M481"/>
    <mergeCell ref="N481:O481"/>
    <mergeCell ref="A480:B480"/>
    <mergeCell ref="C480:E480"/>
    <mergeCell ref="F480:G480"/>
    <mergeCell ref="H480:I480"/>
    <mergeCell ref="J480:K480"/>
    <mergeCell ref="L480:M480"/>
    <mergeCell ref="N478:O478"/>
    <mergeCell ref="A479:B479"/>
    <mergeCell ref="C479:E479"/>
    <mergeCell ref="F479:G479"/>
    <mergeCell ref="H479:I479"/>
    <mergeCell ref="J479:K479"/>
    <mergeCell ref="L479:M479"/>
    <mergeCell ref="N479:O479"/>
    <mergeCell ref="A478:B478"/>
    <mergeCell ref="C478:E478"/>
    <mergeCell ref="F478:G478"/>
    <mergeCell ref="H478:I478"/>
    <mergeCell ref="J478:K478"/>
    <mergeCell ref="L478:M478"/>
    <mergeCell ref="N484:O484"/>
    <mergeCell ref="A485:B485"/>
    <mergeCell ref="C485:E485"/>
    <mergeCell ref="F485:G485"/>
    <mergeCell ref="H485:I485"/>
    <mergeCell ref="J485:K485"/>
    <mergeCell ref="L485:M485"/>
    <mergeCell ref="N485:O485"/>
    <mergeCell ref="A484:B484"/>
    <mergeCell ref="C484:E484"/>
    <mergeCell ref="F484:G484"/>
    <mergeCell ref="H484:I484"/>
    <mergeCell ref="J484:K484"/>
    <mergeCell ref="L484:M484"/>
    <mergeCell ref="N482:O482"/>
    <mergeCell ref="A483:B483"/>
    <mergeCell ref="C483:E483"/>
    <mergeCell ref="F483:G483"/>
    <mergeCell ref="H483:I483"/>
    <mergeCell ref="J483:K483"/>
    <mergeCell ref="L483:M483"/>
    <mergeCell ref="N483:O483"/>
    <mergeCell ref="A482:B482"/>
    <mergeCell ref="C482:E482"/>
    <mergeCell ref="F482:G482"/>
    <mergeCell ref="H482:I482"/>
    <mergeCell ref="J482:K482"/>
    <mergeCell ref="L482:M482"/>
    <mergeCell ref="N488:O488"/>
    <mergeCell ref="A489:B489"/>
    <mergeCell ref="C489:E489"/>
    <mergeCell ref="F489:G489"/>
    <mergeCell ref="H489:I489"/>
    <mergeCell ref="J489:K489"/>
    <mergeCell ref="L489:M489"/>
    <mergeCell ref="N489:O489"/>
    <mergeCell ref="A488:B488"/>
    <mergeCell ref="C488:E488"/>
    <mergeCell ref="F488:G488"/>
    <mergeCell ref="H488:I488"/>
    <mergeCell ref="J488:K488"/>
    <mergeCell ref="L488:M488"/>
    <mergeCell ref="N486:O486"/>
    <mergeCell ref="A487:B487"/>
    <mergeCell ref="C487:E487"/>
    <mergeCell ref="F487:G487"/>
    <mergeCell ref="H487:I487"/>
    <mergeCell ref="J487:K487"/>
    <mergeCell ref="L487:M487"/>
    <mergeCell ref="N487:O487"/>
    <mergeCell ref="A486:B486"/>
    <mergeCell ref="C486:E486"/>
    <mergeCell ref="F486:G486"/>
    <mergeCell ref="H486:I486"/>
    <mergeCell ref="J486:K486"/>
    <mergeCell ref="L486:M486"/>
    <mergeCell ref="N492:O492"/>
    <mergeCell ref="A493:B493"/>
    <mergeCell ref="C493:E493"/>
    <mergeCell ref="F493:G493"/>
    <mergeCell ref="H493:I493"/>
    <mergeCell ref="J493:K493"/>
    <mergeCell ref="L493:M493"/>
    <mergeCell ref="N493:O493"/>
    <mergeCell ref="A492:B492"/>
    <mergeCell ref="C492:E492"/>
    <mergeCell ref="F492:G492"/>
    <mergeCell ref="H492:I492"/>
    <mergeCell ref="J492:K492"/>
    <mergeCell ref="L492:M492"/>
    <mergeCell ref="N490:O490"/>
    <mergeCell ref="A491:B491"/>
    <mergeCell ref="C491:E491"/>
    <mergeCell ref="F491:G491"/>
    <mergeCell ref="H491:I491"/>
    <mergeCell ref="J491:K491"/>
    <mergeCell ref="L491:M491"/>
    <mergeCell ref="N491:O491"/>
    <mergeCell ref="A490:B490"/>
    <mergeCell ref="C490:E490"/>
    <mergeCell ref="F490:G490"/>
    <mergeCell ref="H490:I490"/>
    <mergeCell ref="J490:K490"/>
    <mergeCell ref="L490:M490"/>
    <mergeCell ref="N496:O496"/>
    <mergeCell ref="A497:B497"/>
    <mergeCell ref="C497:E497"/>
    <mergeCell ref="F497:G497"/>
    <mergeCell ref="H497:I497"/>
    <mergeCell ref="J497:K497"/>
    <mergeCell ref="L497:M497"/>
    <mergeCell ref="N497:O497"/>
    <mergeCell ref="A496:B496"/>
    <mergeCell ref="C496:E496"/>
    <mergeCell ref="F496:G496"/>
    <mergeCell ref="H496:I496"/>
    <mergeCell ref="J496:K496"/>
    <mergeCell ref="L496:M496"/>
    <mergeCell ref="N494:O494"/>
    <mergeCell ref="A495:B495"/>
    <mergeCell ref="C495:E495"/>
    <mergeCell ref="F495:G495"/>
    <mergeCell ref="H495:I495"/>
    <mergeCell ref="J495:K495"/>
    <mergeCell ref="L495:M495"/>
    <mergeCell ref="N495:O495"/>
    <mergeCell ref="A494:B494"/>
    <mergeCell ref="C494:E494"/>
    <mergeCell ref="F494:G494"/>
    <mergeCell ref="H494:I494"/>
    <mergeCell ref="J494:K494"/>
    <mergeCell ref="L494:M494"/>
    <mergeCell ref="N500:O500"/>
    <mergeCell ref="A501:B501"/>
    <mergeCell ref="C501:E501"/>
    <mergeCell ref="F501:G501"/>
    <mergeCell ref="H501:I501"/>
    <mergeCell ref="J501:K501"/>
    <mergeCell ref="L501:M501"/>
    <mergeCell ref="N501:O501"/>
    <mergeCell ref="A500:B500"/>
    <mergeCell ref="C500:E500"/>
    <mergeCell ref="F500:G500"/>
    <mergeCell ref="H500:I500"/>
    <mergeCell ref="J500:K500"/>
    <mergeCell ref="L500:M500"/>
    <mergeCell ref="N498:O498"/>
    <mergeCell ref="A499:B499"/>
    <mergeCell ref="C499:E499"/>
    <mergeCell ref="F499:G499"/>
    <mergeCell ref="H499:I499"/>
    <mergeCell ref="J499:K499"/>
    <mergeCell ref="L499:M499"/>
    <mergeCell ref="N499:O499"/>
    <mergeCell ref="A498:B498"/>
    <mergeCell ref="C498:E498"/>
    <mergeCell ref="F498:G498"/>
    <mergeCell ref="H498:I498"/>
    <mergeCell ref="J498:K498"/>
    <mergeCell ref="L498:M498"/>
    <mergeCell ref="N504:O504"/>
    <mergeCell ref="A505:B505"/>
    <mergeCell ref="C505:E505"/>
    <mergeCell ref="F505:G505"/>
    <mergeCell ref="H505:I505"/>
    <mergeCell ref="J505:K505"/>
    <mergeCell ref="L505:M505"/>
    <mergeCell ref="N505:O505"/>
    <mergeCell ref="A504:B504"/>
    <mergeCell ref="C504:E504"/>
    <mergeCell ref="F504:G504"/>
    <mergeCell ref="H504:I504"/>
    <mergeCell ref="J504:K504"/>
    <mergeCell ref="L504:M504"/>
    <mergeCell ref="N502:O502"/>
    <mergeCell ref="A503:B503"/>
    <mergeCell ref="C503:E503"/>
    <mergeCell ref="F503:G503"/>
    <mergeCell ref="H503:I503"/>
    <mergeCell ref="J503:K503"/>
    <mergeCell ref="L503:M503"/>
    <mergeCell ref="N503:O503"/>
    <mergeCell ref="A502:B502"/>
    <mergeCell ref="C502:E502"/>
    <mergeCell ref="F502:G502"/>
    <mergeCell ref="H502:I502"/>
    <mergeCell ref="J502:K502"/>
    <mergeCell ref="L502:M502"/>
    <mergeCell ref="N508:O508"/>
    <mergeCell ref="A509:B509"/>
    <mergeCell ref="C509:E509"/>
    <mergeCell ref="F509:G509"/>
    <mergeCell ref="H509:I509"/>
    <mergeCell ref="J509:K509"/>
    <mergeCell ref="L509:M509"/>
    <mergeCell ref="N509:O509"/>
    <mergeCell ref="A508:B508"/>
    <mergeCell ref="C508:E508"/>
    <mergeCell ref="F508:G508"/>
    <mergeCell ref="H508:I508"/>
    <mergeCell ref="J508:K508"/>
    <mergeCell ref="L508:M508"/>
    <mergeCell ref="N506:O506"/>
    <mergeCell ref="A507:B507"/>
    <mergeCell ref="C507:E507"/>
    <mergeCell ref="F507:G507"/>
    <mergeCell ref="H507:I507"/>
    <mergeCell ref="J507:K507"/>
    <mergeCell ref="L507:M507"/>
    <mergeCell ref="N507:O507"/>
    <mergeCell ref="A506:B506"/>
    <mergeCell ref="C506:E506"/>
    <mergeCell ref="F506:G506"/>
    <mergeCell ref="H506:I506"/>
    <mergeCell ref="J506:K506"/>
    <mergeCell ref="L506:M506"/>
    <mergeCell ref="N512:O512"/>
    <mergeCell ref="A513:B513"/>
    <mergeCell ref="C513:E513"/>
    <mergeCell ref="F513:G513"/>
    <mergeCell ref="H513:I513"/>
    <mergeCell ref="J513:K513"/>
    <mergeCell ref="L513:M513"/>
    <mergeCell ref="N513:O513"/>
    <mergeCell ref="A512:B512"/>
    <mergeCell ref="C512:E512"/>
    <mergeCell ref="F512:G512"/>
    <mergeCell ref="H512:I512"/>
    <mergeCell ref="J512:K512"/>
    <mergeCell ref="L512:M512"/>
    <mergeCell ref="N510:O510"/>
    <mergeCell ref="A511:B511"/>
    <mergeCell ref="C511:E511"/>
    <mergeCell ref="F511:G511"/>
    <mergeCell ref="H511:I511"/>
    <mergeCell ref="J511:K511"/>
    <mergeCell ref="L511:M511"/>
    <mergeCell ref="N511:O511"/>
    <mergeCell ref="A510:B510"/>
    <mergeCell ref="C510:E510"/>
    <mergeCell ref="F510:G510"/>
    <mergeCell ref="H510:I510"/>
    <mergeCell ref="J510:K510"/>
    <mergeCell ref="L510:M510"/>
    <mergeCell ref="N516:O516"/>
    <mergeCell ref="A517:B517"/>
    <mergeCell ref="C517:E517"/>
    <mergeCell ref="F517:G517"/>
    <mergeCell ref="H517:I517"/>
    <mergeCell ref="J517:K517"/>
    <mergeCell ref="L517:M517"/>
    <mergeCell ref="N517:O517"/>
    <mergeCell ref="A516:B516"/>
    <mergeCell ref="C516:E516"/>
    <mergeCell ref="F516:G516"/>
    <mergeCell ref="H516:I516"/>
    <mergeCell ref="J516:K516"/>
    <mergeCell ref="L516:M516"/>
    <mergeCell ref="N514:O514"/>
    <mergeCell ref="A515:B515"/>
    <mergeCell ref="C515:E515"/>
    <mergeCell ref="F515:G515"/>
    <mergeCell ref="H515:I515"/>
    <mergeCell ref="J515:K515"/>
    <mergeCell ref="L515:M515"/>
    <mergeCell ref="N515:O515"/>
    <mergeCell ref="A514:B514"/>
    <mergeCell ref="C514:E514"/>
    <mergeCell ref="F514:G514"/>
    <mergeCell ref="H514:I514"/>
    <mergeCell ref="J514:K514"/>
    <mergeCell ref="L514:M514"/>
    <mergeCell ref="N520:O520"/>
    <mergeCell ref="A521:B521"/>
    <mergeCell ref="C521:E521"/>
    <mergeCell ref="F521:G521"/>
    <mergeCell ref="H521:I521"/>
    <mergeCell ref="J521:K521"/>
    <mergeCell ref="L521:M521"/>
    <mergeCell ref="N521:O521"/>
    <mergeCell ref="A520:B520"/>
    <mergeCell ref="C520:E520"/>
    <mergeCell ref="F520:G520"/>
    <mergeCell ref="H520:I520"/>
    <mergeCell ref="J520:K520"/>
    <mergeCell ref="L520:M520"/>
    <mergeCell ref="N518:O518"/>
    <mergeCell ref="A519:B519"/>
    <mergeCell ref="C519:E519"/>
    <mergeCell ref="F519:G519"/>
    <mergeCell ref="H519:I519"/>
    <mergeCell ref="J519:K519"/>
    <mergeCell ref="L519:M519"/>
    <mergeCell ref="N519:O519"/>
    <mergeCell ref="A518:B518"/>
    <mergeCell ref="C518:E518"/>
    <mergeCell ref="F518:G518"/>
    <mergeCell ref="H518:I518"/>
    <mergeCell ref="J518:K518"/>
    <mergeCell ref="L518:M518"/>
    <mergeCell ref="N524:O524"/>
    <mergeCell ref="A525:B525"/>
    <mergeCell ref="C525:E525"/>
    <mergeCell ref="F525:G525"/>
    <mergeCell ref="H525:I525"/>
    <mergeCell ref="J525:K525"/>
    <mergeCell ref="L525:M525"/>
    <mergeCell ref="N525:O525"/>
    <mergeCell ref="A524:B524"/>
    <mergeCell ref="C524:E524"/>
    <mergeCell ref="F524:G524"/>
    <mergeCell ref="H524:I524"/>
    <mergeCell ref="J524:K524"/>
    <mergeCell ref="L524:M524"/>
    <mergeCell ref="N522:O522"/>
    <mergeCell ref="A523:B523"/>
    <mergeCell ref="C523:E523"/>
    <mergeCell ref="F523:G523"/>
    <mergeCell ref="H523:I523"/>
    <mergeCell ref="J523:K523"/>
    <mergeCell ref="L523:M523"/>
    <mergeCell ref="N523:O523"/>
    <mergeCell ref="A522:B522"/>
    <mergeCell ref="C522:E522"/>
    <mergeCell ref="F522:G522"/>
    <mergeCell ref="H522:I522"/>
    <mergeCell ref="J522:K522"/>
    <mergeCell ref="L522:M522"/>
    <mergeCell ref="N528:O528"/>
    <mergeCell ref="A529:B529"/>
    <mergeCell ref="C529:E529"/>
    <mergeCell ref="F529:G529"/>
    <mergeCell ref="H529:I529"/>
    <mergeCell ref="J529:K529"/>
    <mergeCell ref="L529:M529"/>
    <mergeCell ref="N529:O529"/>
    <mergeCell ref="A528:B528"/>
    <mergeCell ref="C528:E528"/>
    <mergeCell ref="F528:G528"/>
    <mergeCell ref="H528:I528"/>
    <mergeCell ref="J528:K528"/>
    <mergeCell ref="L528:M528"/>
    <mergeCell ref="N526:O526"/>
    <mergeCell ref="A527:B527"/>
    <mergeCell ref="C527:E527"/>
    <mergeCell ref="F527:G527"/>
    <mergeCell ref="H527:I527"/>
    <mergeCell ref="J527:K527"/>
    <mergeCell ref="L527:M527"/>
    <mergeCell ref="N527:O527"/>
    <mergeCell ref="A526:B526"/>
    <mergeCell ref="C526:E526"/>
    <mergeCell ref="F526:G526"/>
    <mergeCell ref="H526:I526"/>
    <mergeCell ref="J526:K526"/>
    <mergeCell ref="L526:M526"/>
    <mergeCell ref="N532:O532"/>
    <mergeCell ref="A533:B533"/>
    <mergeCell ref="C533:E533"/>
    <mergeCell ref="F533:G533"/>
    <mergeCell ref="H533:I533"/>
    <mergeCell ref="J533:K533"/>
    <mergeCell ref="L533:M533"/>
    <mergeCell ref="N533:O533"/>
    <mergeCell ref="A532:B532"/>
    <mergeCell ref="C532:E532"/>
    <mergeCell ref="F532:G532"/>
    <mergeCell ref="H532:I532"/>
    <mergeCell ref="J532:K532"/>
    <mergeCell ref="L532:M532"/>
    <mergeCell ref="N530:O530"/>
    <mergeCell ref="A531:B531"/>
    <mergeCell ref="C531:E531"/>
    <mergeCell ref="F531:G531"/>
    <mergeCell ref="H531:I531"/>
    <mergeCell ref="J531:K531"/>
    <mergeCell ref="L531:M531"/>
    <mergeCell ref="N531:O531"/>
    <mergeCell ref="A530:B530"/>
    <mergeCell ref="C530:E530"/>
    <mergeCell ref="F530:G530"/>
    <mergeCell ref="H530:I530"/>
    <mergeCell ref="J530:K530"/>
    <mergeCell ref="L530:M530"/>
    <mergeCell ref="N536:O536"/>
    <mergeCell ref="A537:B537"/>
    <mergeCell ref="C537:E537"/>
    <mergeCell ref="F537:G537"/>
    <mergeCell ref="H537:I537"/>
    <mergeCell ref="J537:K537"/>
    <mergeCell ref="L537:M537"/>
    <mergeCell ref="N537:O537"/>
    <mergeCell ref="A536:B536"/>
    <mergeCell ref="C536:E536"/>
    <mergeCell ref="F536:G536"/>
    <mergeCell ref="H536:I536"/>
    <mergeCell ref="J536:K536"/>
    <mergeCell ref="L536:M536"/>
    <mergeCell ref="N534:O534"/>
    <mergeCell ref="A535:B535"/>
    <mergeCell ref="C535:E535"/>
    <mergeCell ref="F535:G535"/>
    <mergeCell ref="H535:I535"/>
    <mergeCell ref="J535:K535"/>
    <mergeCell ref="L535:M535"/>
    <mergeCell ref="N535:O535"/>
    <mergeCell ref="A534:B534"/>
    <mergeCell ref="C534:E534"/>
    <mergeCell ref="F534:G534"/>
    <mergeCell ref="H534:I534"/>
    <mergeCell ref="J534:K534"/>
    <mergeCell ref="L534:M534"/>
    <mergeCell ref="N540:O540"/>
    <mergeCell ref="A541:B541"/>
    <mergeCell ref="C541:E541"/>
    <mergeCell ref="F541:G541"/>
    <mergeCell ref="H541:I541"/>
    <mergeCell ref="J541:K541"/>
    <mergeCell ref="L541:M541"/>
    <mergeCell ref="N541:O541"/>
    <mergeCell ref="A540:B540"/>
    <mergeCell ref="C540:E540"/>
    <mergeCell ref="F540:G540"/>
    <mergeCell ref="H540:I540"/>
    <mergeCell ref="J540:K540"/>
    <mergeCell ref="L540:M540"/>
    <mergeCell ref="N538:O538"/>
    <mergeCell ref="A539:B539"/>
    <mergeCell ref="C539:E539"/>
    <mergeCell ref="F539:G539"/>
    <mergeCell ref="H539:I539"/>
    <mergeCell ref="J539:K539"/>
    <mergeCell ref="L539:M539"/>
    <mergeCell ref="N539:O539"/>
    <mergeCell ref="A538:B538"/>
    <mergeCell ref="C538:E538"/>
    <mergeCell ref="F538:G538"/>
    <mergeCell ref="H538:I538"/>
    <mergeCell ref="J538:K538"/>
    <mergeCell ref="L538:M538"/>
    <mergeCell ref="N544:O544"/>
    <mergeCell ref="A545:B545"/>
    <mergeCell ref="C545:E545"/>
    <mergeCell ref="F545:G545"/>
    <mergeCell ref="H545:I545"/>
    <mergeCell ref="J545:K545"/>
    <mergeCell ref="L545:M545"/>
    <mergeCell ref="N545:O545"/>
    <mergeCell ref="A544:B544"/>
    <mergeCell ref="C544:E544"/>
    <mergeCell ref="F544:G544"/>
    <mergeCell ref="H544:I544"/>
    <mergeCell ref="J544:K544"/>
    <mergeCell ref="L544:M544"/>
    <mergeCell ref="N542:O542"/>
    <mergeCell ref="A543:B543"/>
    <mergeCell ref="C543:E543"/>
    <mergeCell ref="F543:G543"/>
    <mergeCell ref="H543:I543"/>
    <mergeCell ref="J543:K543"/>
    <mergeCell ref="L543:M543"/>
    <mergeCell ref="N543:O543"/>
    <mergeCell ref="A542:B542"/>
    <mergeCell ref="C542:E542"/>
    <mergeCell ref="F542:G542"/>
    <mergeCell ref="H542:I542"/>
    <mergeCell ref="J542:K542"/>
    <mergeCell ref="L542:M542"/>
    <mergeCell ref="N548:O548"/>
    <mergeCell ref="A549:B549"/>
    <mergeCell ref="C549:E549"/>
    <mergeCell ref="F549:G549"/>
    <mergeCell ref="H549:I549"/>
    <mergeCell ref="J549:K549"/>
    <mergeCell ref="L549:M549"/>
    <mergeCell ref="N549:O549"/>
    <mergeCell ref="A548:B548"/>
    <mergeCell ref="C548:E548"/>
    <mergeCell ref="F548:G548"/>
    <mergeCell ref="H548:I548"/>
    <mergeCell ref="J548:K548"/>
    <mergeCell ref="L548:M548"/>
    <mergeCell ref="N546:O546"/>
    <mergeCell ref="A547:B547"/>
    <mergeCell ref="C547:E547"/>
    <mergeCell ref="F547:G547"/>
    <mergeCell ref="H547:I547"/>
    <mergeCell ref="J547:K547"/>
    <mergeCell ref="L547:M547"/>
    <mergeCell ref="N547:O547"/>
    <mergeCell ref="A546:B546"/>
    <mergeCell ref="C546:E546"/>
    <mergeCell ref="F546:G546"/>
    <mergeCell ref="H546:I546"/>
    <mergeCell ref="J546:K546"/>
    <mergeCell ref="L546:M546"/>
    <mergeCell ref="N552:O552"/>
    <mergeCell ref="A553:B553"/>
    <mergeCell ref="C553:E553"/>
    <mergeCell ref="F553:G553"/>
    <mergeCell ref="H553:I553"/>
    <mergeCell ref="J553:K553"/>
    <mergeCell ref="L553:M553"/>
    <mergeCell ref="N553:O553"/>
    <mergeCell ref="A552:B552"/>
    <mergeCell ref="C552:E552"/>
    <mergeCell ref="F552:G552"/>
    <mergeCell ref="H552:I552"/>
    <mergeCell ref="J552:K552"/>
    <mergeCell ref="L552:M552"/>
    <mergeCell ref="N550:O550"/>
    <mergeCell ref="A551:B551"/>
    <mergeCell ref="C551:E551"/>
    <mergeCell ref="F551:G551"/>
    <mergeCell ref="H551:I551"/>
    <mergeCell ref="J551:K551"/>
    <mergeCell ref="L551:M551"/>
    <mergeCell ref="N551:O551"/>
    <mergeCell ref="A550:B550"/>
    <mergeCell ref="C550:E550"/>
    <mergeCell ref="F550:G550"/>
    <mergeCell ref="H550:I550"/>
    <mergeCell ref="J550:K550"/>
    <mergeCell ref="L550:M550"/>
    <mergeCell ref="N556:O556"/>
    <mergeCell ref="A557:B557"/>
    <mergeCell ref="C557:E557"/>
    <mergeCell ref="F557:G557"/>
    <mergeCell ref="H557:I557"/>
    <mergeCell ref="J557:K557"/>
    <mergeCell ref="L557:M557"/>
    <mergeCell ref="N557:O557"/>
    <mergeCell ref="A556:B556"/>
    <mergeCell ref="C556:E556"/>
    <mergeCell ref="F556:G556"/>
    <mergeCell ref="H556:I556"/>
    <mergeCell ref="J556:K556"/>
    <mergeCell ref="L556:M556"/>
    <mergeCell ref="N554:O554"/>
    <mergeCell ref="A555:B555"/>
    <mergeCell ref="C555:D555"/>
    <mergeCell ref="F555:G555"/>
    <mergeCell ref="H555:I555"/>
    <mergeCell ref="J555:K555"/>
    <mergeCell ref="L555:M555"/>
    <mergeCell ref="N555:O555"/>
    <mergeCell ref="A554:B554"/>
    <mergeCell ref="C554:E554"/>
    <mergeCell ref="F554:G554"/>
    <mergeCell ref="H554:I554"/>
    <mergeCell ref="J554:K554"/>
    <mergeCell ref="L554:M554"/>
    <mergeCell ref="N560:O560"/>
    <mergeCell ref="A561:B563"/>
    <mergeCell ref="C561:E561"/>
    <mergeCell ref="F561:G563"/>
    <mergeCell ref="H561:I563"/>
    <mergeCell ref="J561:K563"/>
    <mergeCell ref="L561:M563"/>
    <mergeCell ref="N561:O563"/>
    <mergeCell ref="C562:E562"/>
    <mergeCell ref="C563:D563"/>
    <mergeCell ref="A560:B560"/>
    <mergeCell ref="C560:E560"/>
    <mergeCell ref="F560:G560"/>
    <mergeCell ref="H560:I560"/>
    <mergeCell ref="J560:K560"/>
    <mergeCell ref="L560:M560"/>
    <mergeCell ref="N558:O558"/>
    <mergeCell ref="A559:B559"/>
    <mergeCell ref="C559:E559"/>
    <mergeCell ref="F559:G559"/>
    <mergeCell ref="H559:I559"/>
    <mergeCell ref="J559:K559"/>
    <mergeCell ref="L559:M559"/>
    <mergeCell ref="N559:O559"/>
    <mergeCell ref="A558:B558"/>
    <mergeCell ref="C558:E558"/>
    <mergeCell ref="F558:G558"/>
    <mergeCell ref="H558:I558"/>
    <mergeCell ref="J558:K558"/>
    <mergeCell ref="L558:M558"/>
    <mergeCell ref="N566:O566"/>
    <mergeCell ref="A567:B567"/>
    <mergeCell ref="C567:E567"/>
    <mergeCell ref="F567:G567"/>
    <mergeCell ref="H567:I567"/>
    <mergeCell ref="J567:K567"/>
    <mergeCell ref="L567:M567"/>
    <mergeCell ref="N567:O567"/>
    <mergeCell ref="A566:B566"/>
    <mergeCell ref="C566:E566"/>
    <mergeCell ref="F566:G566"/>
    <mergeCell ref="H566:I566"/>
    <mergeCell ref="J566:K566"/>
    <mergeCell ref="L566:M566"/>
    <mergeCell ref="N564:O564"/>
    <mergeCell ref="A565:B565"/>
    <mergeCell ref="C565:E565"/>
    <mergeCell ref="F565:G565"/>
    <mergeCell ref="H565:I565"/>
    <mergeCell ref="J565:K565"/>
    <mergeCell ref="L565:M565"/>
    <mergeCell ref="N565:O565"/>
    <mergeCell ref="A564:B564"/>
    <mergeCell ref="C564:E564"/>
    <mergeCell ref="F564:G564"/>
    <mergeCell ref="H564:I564"/>
    <mergeCell ref="J564:K564"/>
    <mergeCell ref="L564:M564"/>
    <mergeCell ref="N570:O570"/>
    <mergeCell ref="A571:B571"/>
    <mergeCell ref="C571:E571"/>
    <mergeCell ref="F571:G571"/>
    <mergeCell ref="H571:I571"/>
    <mergeCell ref="J571:K571"/>
    <mergeCell ref="L571:M571"/>
    <mergeCell ref="N571:O571"/>
    <mergeCell ref="A570:B570"/>
    <mergeCell ref="C570:E570"/>
    <mergeCell ref="F570:G570"/>
    <mergeCell ref="H570:I570"/>
    <mergeCell ref="J570:K570"/>
    <mergeCell ref="L570:M570"/>
    <mergeCell ref="N568:O568"/>
    <mergeCell ref="A569:B569"/>
    <mergeCell ref="C569:E569"/>
    <mergeCell ref="F569:G569"/>
    <mergeCell ref="H569:I569"/>
    <mergeCell ref="J569:K569"/>
    <mergeCell ref="L569:M569"/>
    <mergeCell ref="N569:O569"/>
    <mergeCell ref="A568:B568"/>
    <mergeCell ref="C568:E568"/>
    <mergeCell ref="F568:G568"/>
    <mergeCell ref="H568:I568"/>
    <mergeCell ref="J568:K568"/>
    <mergeCell ref="L568:M568"/>
    <mergeCell ref="N574:O574"/>
    <mergeCell ref="A575:B575"/>
    <mergeCell ref="C575:E575"/>
    <mergeCell ref="F575:G575"/>
    <mergeCell ref="H575:I575"/>
    <mergeCell ref="J575:K575"/>
    <mergeCell ref="L575:M575"/>
    <mergeCell ref="N575:O575"/>
    <mergeCell ref="A574:B574"/>
    <mergeCell ref="C574:E574"/>
    <mergeCell ref="F574:G574"/>
    <mergeCell ref="H574:I574"/>
    <mergeCell ref="J574:K574"/>
    <mergeCell ref="L574:M574"/>
    <mergeCell ref="N572:O572"/>
    <mergeCell ref="A573:B573"/>
    <mergeCell ref="C573:E573"/>
    <mergeCell ref="F573:G573"/>
    <mergeCell ref="H573:I573"/>
    <mergeCell ref="J573:K573"/>
    <mergeCell ref="L573:M573"/>
    <mergeCell ref="N573:O573"/>
    <mergeCell ref="A572:B572"/>
    <mergeCell ref="C572:E572"/>
    <mergeCell ref="F572:G572"/>
    <mergeCell ref="H572:I572"/>
    <mergeCell ref="J572:K572"/>
    <mergeCell ref="L572:M572"/>
    <mergeCell ref="N578:O578"/>
    <mergeCell ref="A579:B579"/>
    <mergeCell ref="C579:E579"/>
    <mergeCell ref="F579:G579"/>
    <mergeCell ref="H579:I579"/>
    <mergeCell ref="J579:K579"/>
    <mergeCell ref="L579:M579"/>
    <mergeCell ref="N579:O579"/>
    <mergeCell ref="A578:B578"/>
    <mergeCell ref="C578:E578"/>
    <mergeCell ref="F578:G578"/>
    <mergeCell ref="H578:I578"/>
    <mergeCell ref="J578:K578"/>
    <mergeCell ref="L578:M578"/>
    <mergeCell ref="N576:O576"/>
    <mergeCell ref="A577:B577"/>
    <mergeCell ref="C577:E577"/>
    <mergeCell ref="F577:G577"/>
    <mergeCell ref="H577:I577"/>
    <mergeCell ref="J577:K577"/>
    <mergeCell ref="L577:M577"/>
    <mergeCell ref="N577:O577"/>
    <mergeCell ref="A576:B576"/>
    <mergeCell ref="C576:E576"/>
    <mergeCell ref="F576:G576"/>
    <mergeCell ref="H576:I576"/>
    <mergeCell ref="J576:K576"/>
    <mergeCell ref="L576:M576"/>
    <mergeCell ref="N582:O582"/>
    <mergeCell ref="A583:B583"/>
    <mergeCell ref="C583:E583"/>
    <mergeCell ref="F583:G583"/>
    <mergeCell ref="H583:I583"/>
    <mergeCell ref="J583:K583"/>
    <mergeCell ref="L583:M583"/>
    <mergeCell ref="N583:O583"/>
    <mergeCell ref="A582:B582"/>
    <mergeCell ref="C582:E582"/>
    <mergeCell ref="F582:G582"/>
    <mergeCell ref="H582:I582"/>
    <mergeCell ref="J582:K582"/>
    <mergeCell ref="L582:M582"/>
    <mergeCell ref="N580:O580"/>
    <mergeCell ref="A581:B581"/>
    <mergeCell ref="C581:E581"/>
    <mergeCell ref="F581:G581"/>
    <mergeCell ref="H581:I581"/>
    <mergeCell ref="J581:K581"/>
    <mergeCell ref="L581:M581"/>
    <mergeCell ref="N581:O581"/>
    <mergeCell ref="A580:B580"/>
    <mergeCell ref="C580:E580"/>
    <mergeCell ref="F580:G580"/>
    <mergeCell ref="H580:I580"/>
    <mergeCell ref="J580:K580"/>
    <mergeCell ref="L580:M580"/>
    <mergeCell ref="N586:O586"/>
    <mergeCell ref="A587:B587"/>
    <mergeCell ref="C587:E587"/>
    <mergeCell ref="F587:G587"/>
    <mergeCell ref="H587:I587"/>
    <mergeCell ref="J587:K587"/>
    <mergeCell ref="L587:M587"/>
    <mergeCell ref="N587:O587"/>
    <mergeCell ref="A586:B586"/>
    <mergeCell ref="C586:E586"/>
    <mergeCell ref="F586:G586"/>
    <mergeCell ref="H586:I586"/>
    <mergeCell ref="J586:K586"/>
    <mergeCell ref="L586:M586"/>
    <mergeCell ref="N584:O584"/>
    <mergeCell ref="A585:B585"/>
    <mergeCell ref="C585:E585"/>
    <mergeCell ref="F585:G585"/>
    <mergeCell ref="H585:I585"/>
    <mergeCell ref="J585:K585"/>
    <mergeCell ref="L585:M585"/>
    <mergeCell ref="N585:O585"/>
    <mergeCell ref="A584:B584"/>
    <mergeCell ref="C584:E584"/>
    <mergeCell ref="F584:G584"/>
    <mergeCell ref="H584:I584"/>
    <mergeCell ref="J584:K584"/>
    <mergeCell ref="L584:M584"/>
  </mergeCells>
  <pageMargins left="0.7" right="0.7" top="0.75" bottom="0.75" header="0.3" footer="0.3"/>
  <headerFooter>
    <oddHeader>&amp;R&amp;"Aptos"&amp;12&amp;K000000 --- Internal ---&amp;1#_x000D_</oddHeader>
  </headerFooter>
  <drawing r:id="rId1"/>
</worksheet>
</file>

<file path=docMetadata/LabelInfo.xml><?xml version="1.0" encoding="utf-8"?>
<clbl:labelList xmlns:clbl="http://schemas.microsoft.com/office/2020/mipLabelMetadata">
  <clbl:label id="{0c51510c-e5e8-4d83-b38e-ee08bc24f907}" enabled="1" method="Standard" siteId="{90a8aec3-e044-4c52-b490-93621ab5ae6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Data_Cleaning</vt:lpstr>
      <vt:lpstr>Back-up &gt;&gt;&gt;</vt:lpstr>
      <vt:lpstr>Table 1_Raw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Preinscripció Universitària convocatòria juny 2025. Notes de tall de la primera assignació (11/07/2025)</dc:title>
  <dc:subject>Preinscripció Universitària convocatòria juny 2025. Notes de tall de la primera assignació (11/07/2025)</dc:subject>
  <dc:creator>Generalitat de Catalunya, Consell Interuniversitari de Catalunya, Departament de Recerca i Universitats</dc:creator>
  <cp:keywords>Preinscripció universitària. Convocatòria juny 2025, Notes de tall, Graus Univesitaris, Universitats,</cp:keywords>
  <cp:lastModifiedBy>Agdan Papasin, Jerico Neil</cp:lastModifiedBy>
  <dcterms:created xsi:type="dcterms:W3CDTF">2025-11-09T10:44:25Z</dcterms:created>
  <dcterms:modified xsi:type="dcterms:W3CDTF">2025-11-09T12:51:24Z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Creator">
    <vt:lpwstr>Microsoft® Excel® per al Microsoft 365</vt:lpwstr>
  </property>
  <property fmtid="{D5CDD505-2E9C-101B-9397-08002B2CF9AE}" pid="4" name="LastSaved">
    <vt:filetime>2025-11-09T00:00:00Z</vt:filetime>
  </property>
  <property fmtid="{D5CDD505-2E9C-101B-9397-08002B2CF9AE}" pid="5" name="Producer">
    <vt:lpwstr>Microsoft® Excel® per al Microsoft 365</vt:lpwstr>
  </property>
</Properties>
</file>